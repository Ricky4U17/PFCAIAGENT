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se Database" sheetId="1" state="visible" r:id="rId3"/>
    <sheet name="Summary" sheetId="2" state="visible" r:id="rId4"/>
    <sheet name="Data Quality" sheetId="3" state="visible" r:id="rId5"/>
  </sheets>
  <definedNames>
    <definedName function="false" hidden="true" localSheetId="0" name="_xlnm._FilterDatabase" vbProcedure="false">'Fuse Database'!$A$4:$V$119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<sst xmlns="http://schemas.openxmlformats.org/spreadsheetml/2006/main" count="1913" uniqueCount="320">
  <si>
    <t xml:space="preserve">Fuse Database</t>
  </si>
  <si>
    <t xml:space="preserve">115 parts · cleaned &amp; consolidated from fuses.csv · sorted by current rating, then AC voltage</t>
  </si>
  <si>
    <t xml:space="preserve">Mfr Part #</t>
  </si>
  <si>
    <t xml:space="preserve">Manufacturer</t>
  </si>
  <si>
    <t xml:space="preserve">Series</t>
  </si>
  <si>
    <t xml:space="preserve">Description</t>
  </si>
  <si>
    <t xml:space="preserve">Fuse Type</t>
  </si>
  <si>
    <t xml:space="preserve">Mounting Type</t>
  </si>
  <si>
    <t xml:space="preserve">Response Time</t>
  </si>
  <si>
    <t xml:space="preserve">Current Rating (A)</t>
  </si>
  <si>
    <t xml:space="preserve">Voltage AC (V)</t>
  </si>
  <si>
    <t xml:space="preserve">Voltage DC (V)</t>
  </si>
  <si>
    <t xml:space="preserve">Breaking Cap. AC (A)</t>
  </si>
  <si>
    <t xml:space="preserve">Breaking Cap. DC (A)</t>
  </si>
  <si>
    <t xml:space="preserve">Breaking Capacity (raw)</t>
  </si>
  <si>
    <t xml:space="preserve">Melting I²t (A²s)</t>
  </si>
  <si>
    <t xml:space="preserve">Approval Agency</t>
  </si>
  <si>
    <t xml:space="preserve">Operating Temperature</t>
  </si>
  <si>
    <t xml:space="preserve">Package / Case</t>
  </si>
  <si>
    <t xml:space="preserve">Size / Dimension</t>
  </si>
  <si>
    <t xml:space="preserve">Color</t>
  </si>
  <si>
    <t xml:space="preserve">Datasheet</t>
  </si>
  <si>
    <t xml:space="preserve">Source File</t>
  </si>
  <si>
    <t xml:space="preserve">QC Flag</t>
  </si>
  <si>
    <t xml:space="preserve">0208005.MXEP</t>
  </si>
  <si>
    <t xml:space="preserve">Littelfuse Inc.</t>
  </si>
  <si>
    <t xml:space="preserve">208</t>
  </si>
  <si>
    <t xml:space="preserve">FUSE GLASS 5A 350VAC 2AG</t>
  </si>
  <si>
    <t xml:space="preserve">Cartridge, Glass</t>
  </si>
  <si>
    <t xml:space="preserve">Through Hole</t>
  </si>
  <si>
    <t xml:space="preserve">Fast Blow</t>
  </si>
  <si>
    <t xml:space="preserve">100A</t>
  </si>
  <si>
    <t xml:space="preserve">CE, cURus, PSE</t>
  </si>
  <si>
    <t xml:space="preserve">-55°C ~ 125°C</t>
  </si>
  <si>
    <t xml:space="preserve">2AG, 5mm x 15mm (Axial)</t>
  </si>
  <si>
    <t xml:space="preserve">0.185" Dia x 0.570" L (4.70mm x 14.48mm)</t>
  </si>
  <si>
    <t xml:space="preserve">—</t>
  </si>
  <si>
    <t xml:space="preserve">Link</t>
  </si>
  <si>
    <t xml:space="preserve">fuses.csv</t>
  </si>
  <si>
    <t xml:space="preserve">OK</t>
  </si>
  <si>
    <t xml:space="preserve">SMG-V5</t>
  </si>
  <si>
    <t xml:space="preserve">Mersen USA Newburyport-MA L.L.C.</t>
  </si>
  <si>
    <t xml:space="preserve">SMG</t>
  </si>
  <si>
    <t xml:space="preserve">350V 5A .217X.59 2AG FA-L</t>
  </si>
  <si>
    <t xml:space="preserve">CSA, UR</t>
  </si>
  <si>
    <t xml:space="preserve">0.244" Dia x 0.709" L (6.20mm x 18.00mm)</t>
  </si>
  <si>
    <t xml:space="preserve">0514005.MXEP</t>
  </si>
  <si>
    <t xml:space="preserve">514</t>
  </si>
  <si>
    <t xml:space="preserve">FUSE CERAMIC 5A 500VAC 3AB 3AG</t>
  </si>
  <si>
    <t xml:space="preserve">Cartridge, Ceramic</t>
  </si>
  <si>
    <t xml:space="preserve">5kA</t>
  </si>
  <si>
    <t xml:space="preserve">CE, cURus</t>
  </si>
  <si>
    <t xml:space="preserve">3AB, 3AG, 1/4" x 1-1/4" (Axial)</t>
  </si>
  <si>
    <t xml:space="preserve">0.275" Dia x 1.288" L (6.99mm x 32.72mm)</t>
  </si>
  <si>
    <t xml:space="preserve">8020.5075.PT</t>
  </si>
  <si>
    <t xml:space="preserve">SCHURTER Inc.</t>
  </si>
  <si>
    <t xml:space="preserve">SHF 6.3x32</t>
  </si>
  <si>
    <t xml:space="preserve">1.5kA</t>
  </si>
  <si>
    <t xml:space="preserve">cURus</t>
  </si>
  <si>
    <t xml:space="preserve">-40°C ~ 85°C</t>
  </si>
  <si>
    <t xml:space="preserve">0.270" Dia x 1.291" L (6.85mm x 32.80mm)</t>
  </si>
  <si>
    <t xml:space="preserve">0479005.MXEP</t>
  </si>
  <si>
    <t xml:space="preserve">479</t>
  </si>
  <si>
    <t xml:space="preserve">FUSE GLASS 5A 600VAC 2AG</t>
  </si>
  <si>
    <t xml:space="preserve">20A</t>
  </si>
  <si>
    <t xml:space="preserve">CE, UL</t>
  </si>
  <si>
    <t xml:space="preserve">0.184" Dia x 0.586" L (4.67mm x 14.88mm)</t>
  </si>
  <si>
    <t xml:space="preserve">0ADAP5000-RE</t>
  </si>
  <si>
    <t xml:space="preserve">Bel Fuse Inc.</t>
  </si>
  <si>
    <t xml:space="preserve">0ADAP</t>
  </si>
  <si>
    <t xml:space="preserve">FUSE CERM 5A 600VAC 600VDC 3AB</t>
  </si>
  <si>
    <t xml:space="preserve">10kA</t>
  </si>
  <si>
    <t xml:space="preserve">0.266" Dia x 1.292" H (6.76mm x 32.82mm)</t>
  </si>
  <si>
    <t xml:space="preserve">AHC-V-5-R</t>
  </si>
  <si>
    <t xml:space="preserve">Eaton - Electronics Division</t>
  </si>
  <si>
    <t xml:space="preserve">AHC</t>
  </si>
  <si>
    <t xml:space="preserve">FUSE CERAMIC 5A 600VAC 3AB 3AG</t>
  </si>
  <si>
    <t xml:space="preserve">UL</t>
  </si>
  <si>
    <t xml:space="preserve">BK-AHC-V-5-R</t>
  </si>
  <si>
    <t xml:space="preserve">BK-AHC-V2-5-R</t>
  </si>
  <si>
    <t xml:space="preserve">TR-AHC-V-5-R</t>
  </si>
  <si>
    <t xml:space="preserve">0208006.MXEP</t>
  </si>
  <si>
    <t xml:space="preserve">FUSE GLASS 6A 350VAC 2AG</t>
  </si>
  <si>
    <t xml:space="preserve">SMG-V6</t>
  </si>
  <si>
    <t xml:space="preserve">350V 6A .217X.59 2AG FA-L</t>
  </si>
  <si>
    <t xml:space="preserve">0ADAP6000-RE</t>
  </si>
  <si>
    <t xml:space="preserve">FUSE CERM 6A 600VAC 600VDC 3AB</t>
  </si>
  <si>
    <t xml:space="preserve">AHC-V-6-R</t>
  </si>
  <si>
    <t xml:space="preserve">FUSE CERAMIC 6A 600VAC 3AB 3AG</t>
  </si>
  <si>
    <t xml:space="preserve">BK-AHC-V-6-R</t>
  </si>
  <si>
    <t xml:space="preserve">BK-AHC-V2-6-R</t>
  </si>
  <si>
    <t xml:space="preserve">FUSE CERAMIC 2.6A 600VAC 3AB 3AG</t>
  </si>
  <si>
    <t xml:space="preserve">CHECK</t>
  </si>
  <si>
    <t xml:space="preserve">TR-AHC-V-6-R</t>
  </si>
  <si>
    <t xml:space="preserve">051406.3MXEP</t>
  </si>
  <si>
    <t xml:space="preserve">FUSE CERAMIC 6.3A 500VAC 3AB 3AG</t>
  </si>
  <si>
    <t xml:space="preserve">8020.5076.PT</t>
  </si>
  <si>
    <t xml:space="preserve">0208007.MXEP</t>
  </si>
  <si>
    <t xml:space="preserve">FUSE GLASS 7A 350VAC 2AG</t>
  </si>
  <si>
    <t xml:space="preserve">SMG-V7</t>
  </si>
  <si>
    <t xml:space="preserve">350V 7A .217X.59 2AG FA-L</t>
  </si>
  <si>
    <t xml:space="preserve">0208008.MXEP</t>
  </si>
  <si>
    <t xml:space="preserve">FUSE GLASS 8A 350VAC 2AG</t>
  </si>
  <si>
    <t xml:space="preserve">0487008.MXEP</t>
  </si>
  <si>
    <t xml:space="preserve">487</t>
  </si>
  <si>
    <t xml:space="preserve">FUSE CERM 8A 420VAC 420VDC 5X20</t>
  </si>
  <si>
    <t xml:space="preserve">200A AC, 300A DC</t>
  </si>
  <si>
    <t xml:space="preserve">TUV, UR</t>
  </si>
  <si>
    <t xml:space="preserve">5mm x 20mm (Axial)</t>
  </si>
  <si>
    <t xml:space="preserve">0.217" Dia x 0.846" L (5.50mm x 21.50mm)</t>
  </si>
  <si>
    <t xml:space="preserve">BK/S520-V-8-R</t>
  </si>
  <si>
    <t xml:space="preserve">S520</t>
  </si>
  <si>
    <t xml:space="preserve">FUSE CERAMIC 8A 420VAC 5X20MM</t>
  </si>
  <si>
    <t xml:space="preserve">200A</t>
  </si>
  <si>
    <t xml:space="preserve">0.236" Dia x 0.831" L (6.00mm x 21.10mm)</t>
  </si>
  <si>
    <t xml:space="preserve">TR2/S520-V-8-R</t>
  </si>
  <si>
    <t xml:space="preserve">0514008.MXEP</t>
  </si>
  <si>
    <t xml:space="preserve">FUSE CERAMIC 8A 500VAC 3AB 3AG</t>
  </si>
  <si>
    <t xml:space="preserve">8020.5077.PT</t>
  </si>
  <si>
    <t xml:space="preserve">0ADAP8000-RE</t>
  </si>
  <si>
    <t xml:space="preserve">FUSE CERM 8A 600VAC 600VDC 3AB</t>
  </si>
  <si>
    <t xml:space="preserve">AHC-V-8-R</t>
  </si>
  <si>
    <t xml:space="preserve">FUSE CERAMIC 8A 600VAC 3AB 3AG</t>
  </si>
  <si>
    <t xml:space="preserve">BK-AHC-V-8-R</t>
  </si>
  <si>
    <t xml:space="preserve">BK-AHC-V2-8-R</t>
  </si>
  <si>
    <t xml:space="preserve">SCV8</t>
  </si>
  <si>
    <t xml:space="preserve">Eaton - Bussmann Electrical Division</t>
  </si>
  <si>
    <t xml:space="preserve">SCV</t>
  </si>
  <si>
    <t xml:space="preserve">FUSE CERAMIC</t>
  </si>
  <si>
    <t xml:space="preserve">100kA AC, 10kA DC</t>
  </si>
  <si>
    <t xml:space="preserve">CE</t>
  </si>
  <si>
    <t xml:space="preserve">Radial Bend Cylinder</t>
  </si>
  <si>
    <t xml:space="preserve">0.409" Dia x 1.311" L (10.40mm x 33.30mm)</t>
  </si>
  <si>
    <t xml:space="preserve">TR-AHC-V-8-R</t>
  </si>
  <si>
    <t xml:space="preserve">0208010.MXEP</t>
  </si>
  <si>
    <t xml:space="preserve">FUSE GLASS 10A 350VAC 2AG</t>
  </si>
  <si>
    <t xml:space="preserve">0487010.MXEP</t>
  </si>
  <si>
    <t xml:space="preserve">FUSE CERM 10A 420VAC 420VDC 5X20</t>
  </si>
  <si>
    <t xml:space="preserve">BK/S520-V-10-R</t>
  </si>
  <si>
    <t xml:space="preserve">FUSE CERAMIC 10A 420VAC 5X20MM</t>
  </si>
  <si>
    <t xml:space="preserve">TR2/S520-V-10-R</t>
  </si>
  <si>
    <t xml:space="preserve">0505010.MXEP</t>
  </si>
  <si>
    <t xml:space="preserve">505</t>
  </si>
  <si>
    <t xml:space="preserve">FUSE CERM 10A 450VAC 250VDC 3AB</t>
  </si>
  <si>
    <t xml:space="preserve">20kA AC, 1kA DC</t>
  </si>
  <si>
    <t xml:space="preserve">CE, cULus, SEMKO</t>
  </si>
  <si>
    <t xml:space="preserve">0514010.MXEP</t>
  </si>
  <si>
    <t xml:space="preserve">FUSE CERAMIC 10A 500VAC 3AB 3AG</t>
  </si>
  <si>
    <t xml:space="preserve">0ADEP9100-RE</t>
  </si>
  <si>
    <t xml:space="preserve">0ADEP</t>
  </si>
  <si>
    <t xml:space="preserve">FUSE CERM 10A 500VAC 500VDC 3AB</t>
  </si>
  <si>
    <t xml:space="preserve">30kA AC, 20kA DC</t>
  </si>
  <si>
    <t xml:space="preserve">-50°C ~ 105°C</t>
  </si>
  <si>
    <t xml:space="preserve">0.268" Dia x 1.291" L (6.81mm x 32.79mm)</t>
  </si>
  <si>
    <t xml:space="preserve">CRU ABB-A 10A 500V (PF)</t>
  </si>
  <si>
    <t xml:space="preserve">Conquer</t>
  </si>
  <si>
    <t xml:space="preserve">ABB-A</t>
  </si>
  <si>
    <t xml:space="preserve">FUSE CERM 10A 500VAC 500VDC AXL</t>
  </si>
  <si>
    <t xml:space="preserve">Cartridge, Non-Standard (Axial)</t>
  </si>
  <si>
    <t xml:space="preserve">0.276" Dia x 1.299" L (7.00mm x 33.00mm)</t>
  </si>
  <si>
    <t xml:space="preserve">PF-63R50H10X</t>
  </si>
  <si>
    <t xml:space="preserve">Bourns Inc.</t>
  </si>
  <si>
    <t xml:space="preserve">PF-63R50H</t>
  </si>
  <si>
    <t xml:space="preserve">POWRFUSE AXIAL LEAD 500VAC/VDC 1</t>
  </si>
  <si>
    <t xml:space="preserve">cUL, cURus, TUV</t>
  </si>
  <si>
    <t xml:space="preserve">-40°C ~ 125°C</t>
  </si>
  <si>
    <t xml:space="preserve">0ADAP9100-RE</t>
  </si>
  <si>
    <t xml:space="preserve">FUSE CERM 10A 600VAC 600VDC 3AB</t>
  </si>
  <si>
    <t xml:space="preserve">AHC-V-10-R</t>
  </si>
  <si>
    <t xml:space="preserve">FUSE CERAMIC 10A 600VAC 3AB 3AG</t>
  </si>
  <si>
    <t xml:space="preserve">BK-AHC-V-10-R</t>
  </si>
  <si>
    <t xml:space="preserve">BK-AHC-V2-10-R</t>
  </si>
  <si>
    <t xml:space="preserve">TR-AHC-V-10-R</t>
  </si>
  <si>
    <t xml:space="preserve">0505012.MXEP</t>
  </si>
  <si>
    <t xml:space="preserve">FUSE CERM 12A 450VAC 250VDC 3AB</t>
  </si>
  <si>
    <t xml:space="preserve">0ADEP9120-RE</t>
  </si>
  <si>
    <t xml:space="preserve">FUSE CERM 12A 500VAC 500VDC 3AB</t>
  </si>
  <si>
    <t xml:space="preserve">BK-ADC-V2-12-R</t>
  </si>
  <si>
    <t xml:space="preserve">ADC</t>
  </si>
  <si>
    <t xml:space="preserve">cURus, UL</t>
  </si>
  <si>
    <t xml:space="preserve">-50°C ~ 125°C</t>
  </si>
  <si>
    <t xml:space="preserve">PF-63R50H12X</t>
  </si>
  <si>
    <t xml:space="preserve">0ADAP9120-RE</t>
  </si>
  <si>
    <t xml:space="preserve">FUSE CERM 12A 600VAC 600VDC 3AB</t>
  </si>
  <si>
    <t xml:space="preserve">048712.5MXEP</t>
  </si>
  <si>
    <t xml:space="preserve">FUSE CERM 12.5A 420VAC/VDC AXIAL</t>
  </si>
  <si>
    <t xml:space="preserve">BK/S520-V-12-5-R</t>
  </si>
  <si>
    <t xml:space="preserve">FUSE CERAMIC 12.5A 420VAC 5X20MM</t>
  </si>
  <si>
    <t xml:space="preserve">300A</t>
  </si>
  <si>
    <t xml:space="preserve">BK/S520-V-12.5-R</t>
  </si>
  <si>
    <t xml:space="preserve">TR2/S520-V-12-5-R</t>
  </si>
  <si>
    <t xml:space="preserve">051412.5MXEP</t>
  </si>
  <si>
    <t xml:space="preserve">FUSE CERM 12.5A 500VAC 3AB 3AG</t>
  </si>
  <si>
    <t xml:space="preserve">0487015.MXEP</t>
  </si>
  <si>
    <t xml:space="preserve">FUSE CERM 15A 420VAC 420VDC 5X20</t>
  </si>
  <si>
    <t xml:space="preserve">300A AC, 200A DC</t>
  </si>
  <si>
    <t xml:space="preserve">BK/S520-V-15-R</t>
  </si>
  <si>
    <t xml:space="preserve">FUSE CERAMIC 15A 420VAC 5X20MM</t>
  </si>
  <si>
    <t xml:space="preserve">TR2/S520-V-15-R</t>
  </si>
  <si>
    <t xml:space="preserve">0505015.MXEP</t>
  </si>
  <si>
    <t xml:space="preserve">FUSE CERM 15A 500VAC 500VDC 3AB</t>
  </si>
  <si>
    <t xml:space="preserve">0ADEP9150-RE</t>
  </si>
  <si>
    <t xml:space="preserve">BK-ADC-V2-15-R</t>
  </si>
  <si>
    <t xml:space="preserve">BK-AHCA-V-1-5-R</t>
  </si>
  <si>
    <t xml:space="preserve">AHCA</t>
  </si>
  <si>
    <t xml:space="preserve">AHCA 600V FUSE, 1.5A</t>
  </si>
  <si>
    <t xml:space="preserve">20kA</t>
  </si>
  <si>
    <t xml:space="preserve">0.266" Dia x 1.292" L (6.76mm x 32.82mm)</t>
  </si>
  <si>
    <t xml:space="preserve">PF-63R50H15X</t>
  </si>
  <si>
    <t xml:space="preserve">BK-AHC-V-15-R</t>
  </si>
  <si>
    <t xml:space="preserve">FUSE 3AB AXIAL 500V 15A</t>
  </si>
  <si>
    <t xml:space="preserve">BK-AHC-V2-15-R</t>
  </si>
  <si>
    <t xml:space="preserve">BK/S520-V-16-R</t>
  </si>
  <si>
    <t xml:space="preserve">FUSE CERAMIC 16A 420VAC 5X20MM</t>
  </si>
  <si>
    <t xml:space="preserve">TR2/S520-V-16-R</t>
  </si>
  <si>
    <t xml:space="preserve">0505016.MXEP</t>
  </si>
  <si>
    <t xml:space="preserve">FUSE CERM 16A 500VAC 500VDC 3AB</t>
  </si>
  <si>
    <t xml:space="preserve">50kA AC, 20kA DC</t>
  </si>
  <si>
    <t xml:space="preserve">CE, cULus</t>
  </si>
  <si>
    <t xml:space="preserve">0514016.MXEP</t>
  </si>
  <si>
    <t xml:space="preserve">FUSE CERAMIC 16A 500VAC 3AB 3AG</t>
  </si>
  <si>
    <t xml:space="preserve">0ADEP9160-RE</t>
  </si>
  <si>
    <t xml:space="preserve">PF-63R50H16X</t>
  </si>
  <si>
    <t xml:space="preserve">AHC-V-18-R</t>
  </si>
  <si>
    <t xml:space="preserve">FUSE 3AB AXIAL 500V 18A 4-TIN</t>
  </si>
  <si>
    <t xml:space="preserve">BK-AHC-V-18-R</t>
  </si>
  <si>
    <t xml:space="preserve">FUSE 3AB AXIAL 500V 18A</t>
  </si>
  <si>
    <t xml:space="preserve">BK-AHC-V2-18-R</t>
  </si>
  <si>
    <t xml:space="preserve">TR-AHC-V-18-R</t>
  </si>
  <si>
    <t xml:space="preserve">0487020.MXEP</t>
  </si>
  <si>
    <t xml:space="preserve">FUSE CERM 20A 420VAC 420VDC 5X20</t>
  </si>
  <si>
    <t xml:space="preserve">cURus, TUV</t>
  </si>
  <si>
    <t xml:space="preserve">BK/S520-V-20-R</t>
  </si>
  <si>
    <t xml:space="preserve">FUSE CERAMIC 20A 420VAC 5X20MM</t>
  </si>
  <si>
    <t xml:space="preserve">TR2/S520-V-20-R</t>
  </si>
  <si>
    <t xml:space="preserve">0505020.MX52LEP</t>
  </si>
  <si>
    <t xml:space="preserve">FUSE CERM 20A 500VAC 500VDC 3AB</t>
  </si>
  <si>
    <t xml:space="preserve">0505020.MXEP</t>
  </si>
  <si>
    <t xml:space="preserve">0ADEP9200-RE</t>
  </si>
  <si>
    <t xml:space="preserve">AHC-V-20-R</t>
  </si>
  <si>
    <t xml:space="preserve">FUSE 3AB AXIAL 500V 20A 4-TIN</t>
  </si>
  <si>
    <t xml:space="preserve">BK-ADC-V2-20-R</t>
  </si>
  <si>
    <t xml:space="preserve">BK-AHC-V-20-R</t>
  </si>
  <si>
    <t xml:space="preserve">FUSE 3AB AXIAL 500V 20A</t>
  </si>
  <si>
    <t xml:space="preserve">BK-AHC-V2-20-R</t>
  </si>
  <si>
    <t xml:space="preserve">PF-63R50H20X</t>
  </si>
  <si>
    <t xml:space="preserve">POWRFUSE AXIAL LEAD 500VAC/VDC 2</t>
  </si>
  <si>
    <t xml:space="preserve">TR-AHC-V-20-R</t>
  </si>
  <si>
    <t xml:space="preserve">BK/AHC-V2-20-RS</t>
  </si>
  <si>
    <t xml:space="preserve">FUSE CERAMIC 20A 600VAC 3AB 3AG</t>
  </si>
  <si>
    <t xml:space="preserve">0505025.MXEP</t>
  </si>
  <si>
    <t xml:space="preserve">FUSE CERM 25A 500VAC 500VDC 3AB</t>
  </si>
  <si>
    <t xml:space="preserve">0ADEP9250-RE</t>
  </si>
  <si>
    <t xml:space="preserve">BK-ADC-V2-25-R</t>
  </si>
  <si>
    <t xml:space="preserve">BK-AHC-V-25-R</t>
  </si>
  <si>
    <t xml:space="preserve">FUSE 3AB AXIAL 500V 25A</t>
  </si>
  <si>
    <t xml:space="preserve">BK-AHCA-V-2-5-R</t>
  </si>
  <si>
    <t xml:space="preserve">AHCA 600V FUSE, 2.5A</t>
  </si>
  <si>
    <t xml:space="preserve">PF-63R50H25X</t>
  </si>
  <si>
    <t xml:space="preserve">BK-AHC-V2-25-R</t>
  </si>
  <si>
    <t xml:space="preserve">0505030.MXEP</t>
  </si>
  <si>
    <t xml:space="preserve">FUSE CERM 30A 500VAC 500VDC 3AB</t>
  </si>
  <si>
    <t xml:space="preserve">0526030.UXTHP</t>
  </si>
  <si>
    <t xml:space="preserve">526</t>
  </si>
  <si>
    <t xml:space="preserve">FUSE CERM 30A 500VAC 500VDC RAD</t>
  </si>
  <si>
    <t xml:space="preserve">0.442" Dia x 1.378" L (11.22mm x 35.00mm)</t>
  </si>
  <si>
    <t xml:space="preserve">0527030.UXTHP</t>
  </si>
  <si>
    <t xml:space="preserve">527</t>
  </si>
  <si>
    <t xml:space="preserve">0.293" Dia x 1.352" L (7.45mm x 34.35mm)</t>
  </si>
  <si>
    <t xml:space="preserve">0ADEP9300-RE</t>
  </si>
  <si>
    <t xml:space="preserve">BK-ADC-V2-30-R</t>
  </si>
  <si>
    <t xml:space="preserve">CRU ABB-A 30A 500V (PF)</t>
  </si>
  <si>
    <t xml:space="preserve">FUSE CERM 30A 500VAC 500VDC AXL</t>
  </si>
  <si>
    <t xml:space="preserve">PF-63R50H30X</t>
  </si>
  <si>
    <t xml:space="preserve">POWRFUSE AXIAL LEAD 500VAC/VDC 3</t>
  </si>
  <si>
    <t xml:space="preserve">AHC-V-30-R</t>
  </si>
  <si>
    <t xml:space="preserve">FUSE CERAMIC 30A 600VAC 3AB 3AG</t>
  </si>
  <si>
    <t xml:space="preserve">BK/AHC-V-30-R</t>
  </si>
  <si>
    <t xml:space="preserve">FUSE CERM 30A 600VAC 3AB 100 PK</t>
  </si>
  <si>
    <t xml:space="preserve">BK/AHC-V2-30-R</t>
  </si>
  <si>
    <t xml:space="preserve">FUSE CERM 30A 600VAC 3AB 100PK</t>
  </si>
  <si>
    <t xml:space="preserve">BK/AHC-V2-30-RS</t>
  </si>
  <si>
    <t xml:space="preserve">BK/AHCA-V-30-R</t>
  </si>
  <si>
    <t xml:space="preserve">*</t>
  </si>
  <si>
    <t xml:space="preserve">FUSE CER 30A 600VAC 500VDC 100PK</t>
  </si>
  <si>
    <t xml:space="preserve">TR/AHC-V-30-R</t>
  </si>
  <si>
    <t xml:space="preserve">PF-63R50H35X</t>
  </si>
  <si>
    <t xml:space="preserve">0526040.UXTHP</t>
  </si>
  <si>
    <t xml:space="preserve">FUSE CERM 40A 500VAC 500VDC RAD</t>
  </si>
  <si>
    <t xml:space="preserve">0527040.UXTHP</t>
  </si>
  <si>
    <t xml:space="preserve">PF-63R50H40X</t>
  </si>
  <si>
    <t xml:space="preserve">POWRFUSE AXIAL LEAD 500VAC/VDC 4</t>
  </si>
  <si>
    <t xml:space="preserve">0526050.UXTHP</t>
  </si>
  <si>
    <t xml:space="preserve">FUSE CERM 50A 500VAC 500VDC RAD</t>
  </si>
  <si>
    <t xml:space="preserve">Fuse Database — Summary</t>
  </si>
  <si>
    <t xml:space="preserve">All figures are live COUNTIF formulas against the Fuse Database sheet.</t>
  </si>
  <si>
    <t xml:space="preserve">Overview</t>
  </si>
  <si>
    <t xml:space="preserve">Total parts</t>
  </si>
  <si>
    <t xml:space="preserve">Parts flagged for review (QC = CHECK)</t>
  </si>
  <si>
    <t xml:space="preserve">Distinct manufacturers</t>
  </si>
  <si>
    <t xml:space="preserve">from source data</t>
  </si>
  <si>
    <t xml:space="preserve">Parts by Manufacturer</t>
  </si>
  <si>
    <t xml:space="preserve">Parts by Fuse Type</t>
  </si>
  <si>
    <t xml:space="preserve">Parts by Current Rating (A)</t>
  </si>
  <si>
    <t xml:space="preserve">Count</t>
  </si>
  <si>
    <t xml:space="preserve">Rating (A)</t>
  </si>
  <si>
    <t xml:space="preserve">Total</t>
  </si>
  <si>
    <t xml:space="preserve">Data Quality Notes</t>
  </si>
  <si>
    <t xml:space="preserve">Cleaning applied to this database (vs. the original source):</t>
  </si>
  <si>
    <t xml:space="preserve">• The source "Current Rating (Amps)" column was corrupted by spreadsheet time-parsing (e.g. "5:00 AM" instead of "5 A"). The numeric current rating was recovered and is shown in the "Current Rating (A)" column.</t>
  </si>
  <si>
    <t xml:space="preserve">• ~30 helper/parse/scratch columns from the source were removed; numeric values were retained as clean typed columns.</t>
  </si>
  <si>
    <t xml:space="preserve">• Voltage, breaking capacity and melting I²t were normalised to numeric columns; empty "—" means the source listed no value.</t>
  </si>
  <si>
    <t xml:space="preserve">• No duplicate Mfr Part # values were present in the source.</t>
  </si>
  <si>
    <t xml:space="preserve">Parts flagged CHECK — rating field disagrees with description</t>
  </si>
  <si>
    <t xml:space="preserve">Rating field (A)</t>
  </si>
  <si>
    <t xml:space="preserve">Description (A)</t>
  </si>
  <si>
    <t xml:space="preserve">Difference</t>
  </si>
  <si>
    <t xml:space="preserve">Description text</t>
  </si>
  <si>
    <t xml:space="preserve">field ≠ description</t>
  </si>
  <si>
    <t xml:space="preserve">Recommendation: verify these three parts against their datasheets; the description value is likely correct (decimal ratings mis-read as integers).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</si>
</sst>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##"/>
    <numFmt numFmtId="166" formatCode="0"/>
    <numFmt numFmtId="167" formatCode="#,##0"/>
    <numFmt numFmtId="168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BF8F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F8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ttelfuse.com/assetdocs/littelfuse-fuse-208-datasheet?assetguid=5c3fe8fb-6092-49b3-95fe-2d222a1f59ae" TargetMode="External"/><Relationship Id="rId2" Type="http://schemas.openxmlformats.org/officeDocument/2006/relationships/hyperlink" Target="https://us.mersen.com/sites/default/files/files_imported_ep/DS-SMG-SMG-V-STG-STG-V-Electronic-Glass-Fuses-250V-Mersen.pdf" TargetMode="External"/><Relationship Id="rId3" Type="http://schemas.openxmlformats.org/officeDocument/2006/relationships/hyperlink" Target="https://www.littelfuse.com/assetdocs/fuse-514-datasheet?assetguid=312f2663-56c0-41f0-82ff-7a50a98a4902" TargetMode="External"/><Relationship Id="rId4" Type="http://schemas.openxmlformats.org/officeDocument/2006/relationships/hyperlink" Target="https://www.schurter.com/en/datasheet/typ_SHF_6.3x32_Pigtail.pdf" TargetMode="External"/><Relationship Id="rId5" Type="http://schemas.openxmlformats.org/officeDocument/2006/relationships/hyperlink" Target="file://mm.digikey.com/Volume0/opasdata/d220001/medias/docus/2509/479_MXEP%20Series.pdf" TargetMode="External"/><Relationship Id="rId6" Type="http://schemas.openxmlformats.org/officeDocument/2006/relationships/hyperlink" Target="https://belfuse.com/media/datasheets/products/circuit-protection/ds-cp-0adax-series.pdf" TargetMode="External"/><Relationship Id="rId7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8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9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10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11" Type="http://schemas.openxmlformats.org/officeDocument/2006/relationships/hyperlink" Target="https://www.littelfuse.com/assetdocs/littelfuse-fuse-208-datasheet?assetguid=5c3fe8fb-6092-49b3-95fe-2d222a1f59ae" TargetMode="External"/><Relationship Id="rId12" Type="http://schemas.openxmlformats.org/officeDocument/2006/relationships/hyperlink" Target="https://us.mersen.com/sites/default/files/files_imported_ep/DS-SMG-SMG-V-STG-STG-V-Electronic-Glass-Fuses-250V-Mersen.pdf" TargetMode="External"/><Relationship Id="rId13" Type="http://schemas.openxmlformats.org/officeDocument/2006/relationships/hyperlink" Target="https://belfuse.com/media/datasheets/products/circuit-protection/ds-cp-0adax-series.pdf" TargetMode="External"/><Relationship Id="rId14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15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16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17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18" Type="http://schemas.openxmlformats.org/officeDocument/2006/relationships/hyperlink" Target="https://www.littelfuse.com/assetdocs/fuse-514-datasheet?assetguid=312f2663-56c0-41f0-82ff-7a50a98a4902" TargetMode="External"/><Relationship Id="rId19" Type="http://schemas.openxmlformats.org/officeDocument/2006/relationships/hyperlink" Target="https://www.schurter.com/en/datasheet/typ_SHF_6.3x32_Pigtail.pdf" TargetMode="External"/><Relationship Id="rId20" Type="http://schemas.openxmlformats.org/officeDocument/2006/relationships/hyperlink" Target="https://www.littelfuse.com/assetdocs/littelfuse-fuse-208-datasheet?assetguid=5c3fe8fb-6092-49b3-95fe-2d222a1f59ae" TargetMode="External"/><Relationship Id="rId21" Type="http://schemas.openxmlformats.org/officeDocument/2006/relationships/hyperlink" Target="https://us.mersen.com/sites/default/files/files_imported_ep/DS-SMG-SMG-V-STG-STG-V-Electronic-Glass-Fuses-250V-Mersen.pdf" TargetMode="External"/><Relationship Id="rId22" Type="http://schemas.openxmlformats.org/officeDocument/2006/relationships/hyperlink" Target="https://www.littelfuse.com/assetdocs/littelfuse-fuse-208-datasheet?assetguid=5c3fe8fb-6092-49b3-95fe-2d222a1f59ae" TargetMode="External"/><Relationship Id="rId23" Type="http://schemas.openxmlformats.org/officeDocument/2006/relationships/hyperlink" Target="https://www.littelfuse.com/assetdocs/littelfuse-fuse-487-series-datasheet?assetguid=64f9721e-f110-4b05-be4a-1b8802419035" TargetMode="External"/><Relationship Id="rId24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25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26" Type="http://schemas.openxmlformats.org/officeDocument/2006/relationships/hyperlink" Target="https://www.littelfuse.com/assetdocs/fuse-514-datasheet?assetguid=312f2663-56c0-41f0-82ff-7a50a98a4902" TargetMode="External"/><Relationship Id="rId27" Type="http://schemas.openxmlformats.org/officeDocument/2006/relationships/hyperlink" Target="https://www.schurter.com/en/datasheet/typ_SHF_6.3x32_Pigtail.pdf" TargetMode="External"/><Relationship Id="rId28" Type="http://schemas.openxmlformats.org/officeDocument/2006/relationships/hyperlink" Target="https://belfuse.com/media/datasheets/products/circuit-protection/ds-cp-0adax-series.pdf" TargetMode="External"/><Relationship Id="rId29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30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31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32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33" Type="http://schemas.openxmlformats.org/officeDocument/2006/relationships/hyperlink" Target="https://www.littelfuse.com/assetdocs/littelfuse-fuse-208-datasheet?assetguid=5c3fe8fb-6092-49b3-95fe-2d222a1f59ae" TargetMode="External"/><Relationship Id="rId34" Type="http://schemas.openxmlformats.org/officeDocument/2006/relationships/hyperlink" Target="https://www.littelfuse.com/assetdocs/littelfuse-fuse-487-series-datasheet?assetguid=64f9721e-f110-4b05-be4a-1b8802419035" TargetMode="External"/><Relationship Id="rId35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36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37" Type="http://schemas.openxmlformats.org/officeDocument/2006/relationships/hyperlink" Target="https://www.littelfuse.com/assetdocs/littelfuse_fuse_505_datasheet.pdf?assetguid=5688ddaa-f0db-4dd2-936d-4e678e1f8f31" TargetMode="External"/><Relationship Id="rId38" Type="http://schemas.openxmlformats.org/officeDocument/2006/relationships/hyperlink" Target="https://www.littelfuse.com/assetdocs/fuse-514-datasheet?assetguid=312f2663-56c0-41f0-82ff-7a50a98a4902" TargetMode="External"/><Relationship Id="rId39" Type="http://schemas.openxmlformats.org/officeDocument/2006/relationships/hyperlink" Target="https://belfuse.com/media/datasheets/products/circuit-protection/ds-cp-0adex-series.pdf" TargetMode="External"/><Relationship Id="rId40" Type="http://schemas.openxmlformats.org/officeDocument/2006/relationships/hyperlink" Target="https://www.conquer.com.tw/File/Catalogues/40/ABB-ABB-A.pdf?t=367200" TargetMode="External"/><Relationship Id="rId41" Type="http://schemas.openxmlformats.org/officeDocument/2006/relationships/hyperlink" Target="https://bourns.com/docs/product-datasheets/pf-63r50h.pdf" TargetMode="External"/><Relationship Id="rId42" Type="http://schemas.openxmlformats.org/officeDocument/2006/relationships/hyperlink" Target="https://belfuse.com/media/datasheets/products/circuit-protection/ds-cp-0adax-series.pdf" TargetMode="External"/><Relationship Id="rId43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44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45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46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47" Type="http://schemas.openxmlformats.org/officeDocument/2006/relationships/hyperlink" Target="https://www.littelfuse.com/assetdocs/littelfuse_fuse_505_datasheet.pdf?assetguid=5688ddaa-f0db-4dd2-936d-4e678e1f8f31" TargetMode="External"/><Relationship Id="rId48" Type="http://schemas.openxmlformats.org/officeDocument/2006/relationships/hyperlink" Target="https://belfuse.com/media/datasheets/products/circuit-protection/ds-cp-0adex-series.pdf" TargetMode="External"/><Relationship Id="rId49" Type="http://schemas.openxmlformats.org/officeDocument/2006/relationships/hyperlink" Target="https://www.eaton.com/content/dam/eaton/products/electronic-components/resources/data-sheet/eaton-adc-3ab-high-voltage-fuse-data-sheet-elx1122-en.pdf" TargetMode="External"/><Relationship Id="rId50" Type="http://schemas.openxmlformats.org/officeDocument/2006/relationships/hyperlink" Target="https://bourns.com/docs/product-datasheets/pf-63r50h.pdf" TargetMode="External"/><Relationship Id="rId51" Type="http://schemas.openxmlformats.org/officeDocument/2006/relationships/hyperlink" Target="https://belfuse.com/media/datasheets/products/circuit-protection/ds-cp-0adax-series.pdf" TargetMode="External"/><Relationship Id="rId52" Type="http://schemas.openxmlformats.org/officeDocument/2006/relationships/hyperlink" Target="https://www.littelfuse.com/assetdocs/littelfuse-fuse-487-series-datasheet?assetguid=64f9721e-f110-4b05-be4a-1b8802419035" TargetMode="External"/><Relationship Id="rId53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54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55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56" Type="http://schemas.openxmlformats.org/officeDocument/2006/relationships/hyperlink" Target="https://www.littelfuse.com/assetdocs/fuse-514-datasheet?assetguid=312f2663-56c0-41f0-82ff-7a50a98a4902" TargetMode="External"/><Relationship Id="rId57" Type="http://schemas.openxmlformats.org/officeDocument/2006/relationships/hyperlink" Target="https://www.littelfuse.com/assetdocs/littelfuse-fuse-487-series-datasheet?assetguid=64f9721e-f110-4b05-be4a-1b8802419035" TargetMode="External"/><Relationship Id="rId58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59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60" Type="http://schemas.openxmlformats.org/officeDocument/2006/relationships/hyperlink" Target="https://www.littelfuse.com/assetdocs/littelfuse_fuse_505_datasheet.pdf?assetguid=5688ddaa-f0db-4dd2-936d-4e678e1f8f31" TargetMode="External"/><Relationship Id="rId61" Type="http://schemas.openxmlformats.org/officeDocument/2006/relationships/hyperlink" Target="https://belfuse.com/media/datasheets/products/circuit-protection/ds-cp-0adex-series.pdf" TargetMode="External"/><Relationship Id="rId62" Type="http://schemas.openxmlformats.org/officeDocument/2006/relationships/hyperlink" Target="https://www.eaton.com/content/dam/eaton/products/electronic-components/resources/data-sheet/eaton-adc-3ab-high-voltage-fuse-data-sheet-elx1122-en.pdf" TargetMode="External"/><Relationship Id="rId63" Type="http://schemas.openxmlformats.org/officeDocument/2006/relationships/hyperlink" Target="https://www.eaton.com/content/dam/eaton/products/electronic-components/resources/catalog/eaton-overcurrent-catalog.pdf" TargetMode="External"/><Relationship Id="rId64" Type="http://schemas.openxmlformats.org/officeDocument/2006/relationships/hyperlink" Target="https://bourns.com/docs/product-datasheets/pf-63r50h.pdf" TargetMode="External"/><Relationship Id="rId65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66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67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68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69" Type="http://schemas.openxmlformats.org/officeDocument/2006/relationships/hyperlink" Target="https://www.littelfuse.com/assetdocs/littelfuse_fuse_505_datasheet.pdf?assetguid=5688ddaa-f0db-4dd2-936d-4e678e1f8f31" TargetMode="External"/><Relationship Id="rId70" Type="http://schemas.openxmlformats.org/officeDocument/2006/relationships/hyperlink" Target="https://www.littelfuse.com/assetdocs/fuse-514-datasheet?assetguid=312f2663-56c0-41f0-82ff-7a50a98a4902" TargetMode="External"/><Relationship Id="rId71" Type="http://schemas.openxmlformats.org/officeDocument/2006/relationships/hyperlink" Target="https://belfuse.com/media/datasheets/products/circuit-protection/ds-cp-0adex-series.pdf" TargetMode="External"/><Relationship Id="rId72" Type="http://schemas.openxmlformats.org/officeDocument/2006/relationships/hyperlink" Target="https://bourns.com/docs/product-datasheets/pf-63r50h.pdf" TargetMode="External"/><Relationship Id="rId73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74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75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76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77" Type="http://schemas.openxmlformats.org/officeDocument/2006/relationships/hyperlink" Target="https://www.littelfuse.com/assetdocs/littelfuse-fuse-487-series-datasheet?assetguid=64f9721e-f110-4b05-be4a-1b8802419035" TargetMode="External"/><Relationship Id="rId78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79" Type="http://schemas.openxmlformats.org/officeDocument/2006/relationships/hyperlink" Target="https://www.eaton.com/content/dam/eaton/products/electronic-components/resources/data-sheet/eaton-s520-fast-acting-ceramic-tube-fuse-data-sheet.pdf" TargetMode="External"/><Relationship Id="rId80" Type="http://schemas.openxmlformats.org/officeDocument/2006/relationships/hyperlink" Target="https://www.littelfuse.com/assetdocs/fuse-505-datasheet?assetguid=5688ddaa-f0db-4dd2-936d-4e678e1f8f31" TargetMode="External"/><Relationship Id="rId81" Type="http://schemas.openxmlformats.org/officeDocument/2006/relationships/hyperlink" Target="https://www.littelfuse.com/assetdocs/littelfuse_fuse_505_datasheet.pdf?assetguid=5688ddaa-f0db-4dd2-936d-4e678e1f8f31" TargetMode="External"/><Relationship Id="rId82" Type="http://schemas.openxmlformats.org/officeDocument/2006/relationships/hyperlink" Target="https://belfuse.com/media/datasheets/products/circuit-protection/ds-cp-0adex-series.pdf" TargetMode="External"/><Relationship Id="rId83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84" Type="http://schemas.openxmlformats.org/officeDocument/2006/relationships/hyperlink" Target="https://www.eaton.com/content/dam/eaton/products/electronic-components/resources/data-sheet/eaton-adc-3ab-high-voltage-fuse-data-sheet-elx1122-en.pdf" TargetMode="External"/><Relationship Id="rId85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86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87" Type="http://schemas.openxmlformats.org/officeDocument/2006/relationships/hyperlink" Target="https://bourns.com/docs/product-datasheets/pf-63r50h.pdf" TargetMode="External"/><Relationship Id="rId88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89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90" Type="http://schemas.openxmlformats.org/officeDocument/2006/relationships/hyperlink" Target="https://www.littelfuse.com/assetdocs/littelfuse_fuse_505_datasheet.pdf?assetguid=5688ddaa-f0db-4dd2-936d-4e678e1f8f31" TargetMode="External"/><Relationship Id="rId91" Type="http://schemas.openxmlformats.org/officeDocument/2006/relationships/hyperlink" Target="https://belfuse.com/media/datasheets/products/circuit-protection/ds-cp-0adex-series.pdf" TargetMode="External"/><Relationship Id="rId92" Type="http://schemas.openxmlformats.org/officeDocument/2006/relationships/hyperlink" Target="https://www.eaton.com/content/dam/eaton/products/electronic-components/resources/data-sheet/eaton-adc-3ab-high-voltage-fuse-data-sheet-elx1122-en.pdf" TargetMode="External"/><Relationship Id="rId93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94" Type="http://schemas.openxmlformats.org/officeDocument/2006/relationships/hyperlink" Target="https://www.eaton.com/content/dam/eaton/products/electronic-components/resources/catalog/eaton-overcurrent-catalog.pdf" TargetMode="External"/><Relationship Id="rId95" Type="http://schemas.openxmlformats.org/officeDocument/2006/relationships/hyperlink" Target="https://bourns.com/docs/product-datasheets/pf-63r50h.pdf" TargetMode="External"/><Relationship Id="rId96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97" Type="http://schemas.openxmlformats.org/officeDocument/2006/relationships/hyperlink" Target="https://www.littelfuse.com/assetdocs/littelfuse_fuse_505_datasheet.pdf?assetguid=5688ddaa-f0db-4dd2-936d-4e678e1f8f31" TargetMode="External"/><Relationship Id="rId98" Type="http://schemas.openxmlformats.org/officeDocument/2006/relationships/hyperlink" Target="file://mm.digikey.com/Volume0/opasdata/d220001/medias/docus/4029/526_Series_RevBA_2-1-22.pdf" TargetMode="External"/><Relationship Id="rId99" Type="http://schemas.openxmlformats.org/officeDocument/2006/relationships/hyperlink" Target="file://mm.digikey.com/Volume0/opasdata/d220001/medias/docus/4127/527_Series_RevBA_1-17-22.pdf" TargetMode="External"/><Relationship Id="rId100" Type="http://schemas.openxmlformats.org/officeDocument/2006/relationships/hyperlink" Target="https://belfuse.com/media/datasheets/products/circuit-protection/ds-cp-0adex-series.pdf" TargetMode="External"/><Relationship Id="rId101" Type="http://schemas.openxmlformats.org/officeDocument/2006/relationships/hyperlink" Target="https://www.eaton.com/content/dam/eaton/products/electronic-components/resources/data-sheet/eaton-adc-3ab-high-voltage-fuse-data-sheet-elx1122-en.pdf" TargetMode="External"/><Relationship Id="rId102" Type="http://schemas.openxmlformats.org/officeDocument/2006/relationships/hyperlink" Target="https://www.conquer.com.tw/File/Catalogues/40/ABB-ABB-A.pdf?t=367200" TargetMode="External"/><Relationship Id="rId103" Type="http://schemas.openxmlformats.org/officeDocument/2006/relationships/hyperlink" Target="https://bourns.com/docs/product-datasheets/pf-63r50h.pdf" TargetMode="External"/><Relationship Id="rId104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105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106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107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108" Type="http://schemas.openxmlformats.org/officeDocument/2006/relationships/hyperlink" Target="https://www.eaton.com/content/dam/eaton/products/electronic-components/resources/data-sheet/eaton-ahc-3ab-high-voltage-fuse-data-sheet-elx1121-en.pdf" TargetMode="External"/><Relationship Id="rId109" Type="http://schemas.openxmlformats.org/officeDocument/2006/relationships/hyperlink" Target="https://www.eaton.com/content/dam/eaton/products/electronic-components/resources/data-sheet/eaton-ahc-high-voltage-fuse-data-sheet-elx1123-en.pdf" TargetMode="External"/><Relationship Id="rId110" Type="http://schemas.openxmlformats.org/officeDocument/2006/relationships/hyperlink" Target="https://bourns.com/docs/product-datasheets/pf-63r50h.pdf" TargetMode="External"/><Relationship Id="rId111" Type="http://schemas.openxmlformats.org/officeDocument/2006/relationships/hyperlink" Target="file://mm.digikey.com/Volume0/opasdata/d220001/medias/docus/4029/526_Series_RevBA_2-1-22.pdf" TargetMode="External"/><Relationship Id="rId112" Type="http://schemas.openxmlformats.org/officeDocument/2006/relationships/hyperlink" Target="file://mm.digikey.com/Volume0/opasdata/d220001/medias/docus/4127/527_Series_RevBA_1-17-22.pdf" TargetMode="External"/><Relationship Id="rId113" Type="http://schemas.openxmlformats.org/officeDocument/2006/relationships/hyperlink" Target="https://bourns.com/docs/product-datasheets/pf-63r50h.pdf" TargetMode="External"/><Relationship Id="rId114" Type="http://schemas.openxmlformats.org/officeDocument/2006/relationships/hyperlink" Target="file://mm.digikey.com/Volume0/opasdata/d220001/medias/docus/4029/526_Series_RevBA_2-1-22.pdf" TargetMode="External"/><Relationship Id="rId11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2" min="11" style="0" width="15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6" min="15" style="0" width="18"/>
    <col collapsed="false" customWidth="true" hidden="false" outlineLevel="0" max="17" min="17" style="0" width="26"/>
    <col collapsed="false" customWidth="true" hidden="false" outlineLevel="0" max="18" min="18" style="0" width="34"/>
    <col collapsed="false" customWidth="true" hidden="false" outlineLevel="0" max="19" min="19" style="0" width="10"/>
    <col collapsed="false" customWidth="true" hidden="false" outlineLevel="0" max="20" min="20" style="0" width="30"/>
    <col collapsed="false" customWidth="true" hidden="false" outlineLevel="0" max="21" min="21" style="0" width="12"/>
    <col collapsed="false" customWidth="true" hidden="false" outlineLevel="0" max="22" min="22" style="0" width="1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15" hidden="false" customHeight="fals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5" t="n">
        <v>5</v>
      </c>
      <c r="I5" s="6" t="n">
        <v>350</v>
      </c>
      <c r="J5" s="6"/>
      <c r="K5" s="7" t="n">
        <v>100</v>
      </c>
      <c r="L5" s="7" t="n">
        <v>100</v>
      </c>
      <c r="M5" s="4" t="s">
        <v>31</v>
      </c>
      <c r="N5" s="5" t="n">
        <v>17</v>
      </c>
      <c r="O5" s="4" t="s">
        <v>32</v>
      </c>
      <c r="P5" s="4" t="s">
        <v>33</v>
      </c>
      <c r="Q5" s="4" t="s">
        <v>34</v>
      </c>
      <c r="R5" s="4" t="s">
        <v>35</v>
      </c>
      <c r="S5" s="4" t="s">
        <v>36</v>
      </c>
      <c r="T5" s="8" t="s">
        <v>37</v>
      </c>
      <c r="U5" s="4" t="s">
        <v>38</v>
      </c>
      <c r="V5" s="9" t="s">
        <v>39</v>
      </c>
    </row>
    <row r="6" customFormat="false" ht="15" hidden="false" customHeight="false" outlineLevel="0" collapsed="false">
      <c r="A6" s="4" t="s">
        <v>40</v>
      </c>
      <c r="B6" s="4" t="s">
        <v>41</v>
      </c>
      <c r="C6" s="4" t="s">
        <v>42</v>
      </c>
      <c r="D6" s="4" t="s">
        <v>43</v>
      </c>
      <c r="E6" s="4" t="s">
        <v>28</v>
      </c>
      <c r="F6" s="4" t="s">
        <v>29</v>
      </c>
      <c r="G6" s="4" t="s">
        <v>30</v>
      </c>
      <c r="H6" s="5" t="n">
        <v>5</v>
      </c>
      <c r="I6" s="6" t="n">
        <v>350</v>
      </c>
      <c r="J6" s="6"/>
      <c r="K6" s="7" t="n">
        <v>100</v>
      </c>
      <c r="L6" s="7" t="n">
        <v>100</v>
      </c>
      <c r="M6" s="4" t="s">
        <v>31</v>
      </c>
      <c r="N6" s="5"/>
      <c r="O6" s="4" t="s">
        <v>44</v>
      </c>
      <c r="P6" s="4" t="s">
        <v>36</v>
      </c>
      <c r="Q6" s="4" t="s">
        <v>34</v>
      </c>
      <c r="R6" s="4" t="s">
        <v>45</v>
      </c>
      <c r="S6" s="4" t="s">
        <v>36</v>
      </c>
      <c r="T6" s="8" t="s">
        <v>37</v>
      </c>
      <c r="U6" s="4" t="s">
        <v>38</v>
      </c>
      <c r="V6" s="9" t="s">
        <v>39</v>
      </c>
    </row>
    <row r="7" customFormat="false" ht="15" hidden="false" customHeight="false" outlineLevel="0" collapsed="false">
      <c r="A7" s="4" t="s">
        <v>46</v>
      </c>
      <c r="B7" s="4" t="s">
        <v>25</v>
      </c>
      <c r="C7" s="4" t="s">
        <v>47</v>
      </c>
      <c r="D7" s="4" t="s">
        <v>48</v>
      </c>
      <c r="E7" s="4" t="s">
        <v>49</v>
      </c>
      <c r="F7" s="4" t="s">
        <v>29</v>
      </c>
      <c r="G7" s="4" t="s">
        <v>30</v>
      </c>
      <c r="H7" s="5" t="n">
        <v>5</v>
      </c>
      <c r="I7" s="6" t="n">
        <v>500</v>
      </c>
      <c r="J7" s="6"/>
      <c r="K7" s="7" t="n">
        <v>5000</v>
      </c>
      <c r="L7" s="7" t="n">
        <v>5000</v>
      </c>
      <c r="M7" s="4" t="s">
        <v>50</v>
      </c>
      <c r="N7" s="5" t="n">
        <v>6.14</v>
      </c>
      <c r="O7" s="4" t="s">
        <v>51</v>
      </c>
      <c r="P7" s="4" t="s">
        <v>33</v>
      </c>
      <c r="Q7" s="4" t="s">
        <v>52</v>
      </c>
      <c r="R7" s="4" t="s">
        <v>53</v>
      </c>
      <c r="S7" s="4" t="s">
        <v>36</v>
      </c>
      <c r="T7" s="8" t="s">
        <v>37</v>
      </c>
      <c r="U7" s="4" t="s">
        <v>38</v>
      </c>
      <c r="V7" s="9" t="s">
        <v>39</v>
      </c>
    </row>
    <row r="8" customFormat="false" ht="15" hidden="false" customHeight="false" outlineLevel="0" collapsed="false">
      <c r="A8" s="4" t="s">
        <v>54</v>
      </c>
      <c r="B8" s="4" t="s">
        <v>55</v>
      </c>
      <c r="C8" s="4" t="s">
        <v>56</v>
      </c>
      <c r="D8" s="4" t="s">
        <v>48</v>
      </c>
      <c r="E8" s="4" t="s">
        <v>49</v>
      </c>
      <c r="F8" s="4" t="s">
        <v>29</v>
      </c>
      <c r="G8" s="4" t="s">
        <v>30</v>
      </c>
      <c r="H8" s="5" t="n">
        <v>5</v>
      </c>
      <c r="I8" s="6" t="n">
        <v>500</v>
      </c>
      <c r="J8" s="6"/>
      <c r="K8" s="7" t="n">
        <v>1500</v>
      </c>
      <c r="L8" s="7" t="n">
        <v>1500</v>
      </c>
      <c r="M8" s="4" t="s">
        <v>57</v>
      </c>
      <c r="N8" s="5" t="n">
        <v>33.2</v>
      </c>
      <c r="O8" s="4" t="s">
        <v>58</v>
      </c>
      <c r="P8" s="4" t="s">
        <v>59</v>
      </c>
      <c r="Q8" s="4" t="s">
        <v>52</v>
      </c>
      <c r="R8" s="4" t="s">
        <v>60</v>
      </c>
      <c r="S8" s="4" t="s">
        <v>36</v>
      </c>
      <c r="T8" s="8" t="s">
        <v>37</v>
      </c>
      <c r="U8" s="4" t="s">
        <v>38</v>
      </c>
      <c r="V8" s="9" t="s">
        <v>39</v>
      </c>
    </row>
    <row r="9" customFormat="false" ht="15" hidden="false" customHeight="false" outlineLevel="0" collapsed="false">
      <c r="A9" s="4" t="s">
        <v>61</v>
      </c>
      <c r="B9" s="4" t="s">
        <v>25</v>
      </c>
      <c r="C9" s="4" t="s">
        <v>62</v>
      </c>
      <c r="D9" s="4" t="s">
        <v>63</v>
      </c>
      <c r="E9" s="4" t="s">
        <v>28</v>
      </c>
      <c r="F9" s="4" t="s">
        <v>29</v>
      </c>
      <c r="G9" s="4" t="s">
        <v>30</v>
      </c>
      <c r="H9" s="5" t="n">
        <v>5</v>
      </c>
      <c r="I9" s="6" t="n">
        <v>600</v>
      </c>
      <c r="J9" s="6"/>
      <c r="K9" s="7" t="n">
        <v>20</v>
      </c>
      <c r="L9" s="7" t="n">
        <v>20</v>
      </c>
      <c r="M9" s="4" t="s">
        <v>64</v>
      </c>
      <c r="N9" s="5"/>
      <c r="O9" s="4" t="s">
        <v>65</v>
      </c>
      <c r="P9" s="4" t="s">
        <v>36</v>
      </c>
      <c r="Q9" s="4" t="s">
        <v>34</v>
      </c>
      <c r="R9" s="4" t="s">
        <v>66</v>
      </c>
      <c r="S9" s="4" t="s">
        <v>36</v>
      </c>
      <c r="T9" s="8" t="s">
        <v>37</v>
      </c>
      <c r="U9" s="4" t="s">
        <v>38</v>
      </c>
      <c r="V9" s="9" t="s">
        <v>39</v>
      </c>
    </row>
    <row r="10" customFormat="false" ht="15" hidden="false" customHeight="false" outlineLevel="0" collapsed="false">
      <c r="A10" s="4" t="s">
        <v>67</v>
      </c>
      <c r="B10" s="4" t="s">
        <v>68</v>
      </c>
      <c r="C10" s="4" t="s">
        <v>69</v>
      </c>
      <c r="D10" s="4" t="s">
        <v>70</v>
      </c>
      <c r="E10" s="4" t="s">
        <v>49</v>
      </c>
      <c r="F10" s="4" t="s">
        <v>29</v>
      </c>
      <c r="G10" s="4" t="s">
        <v>30</v>
      </c>
      <c r="H10" s="5" t="n">
        <v>5</v>
      </c>
      <c r="I10" s="6" t="n">
        <v>600</v>
      </c>
      <c r="J10" s="6" t="n">
        <v>600</v>
      </c>
      <c r="K10" s="7" t="n">
        <v>10000</v>
      </c>
      <c r="L10" s="7" t="n">
        <v>10000</v>
      </c>
      <c r="M10" s="4" t="s">
        <v>71</v>
      </c>
      <c r="N10" s="5" t="n">
        <v>26.5</v>
      </c>
      <c r="O10" s="4" t="s">
        <v>58</v>
      </c>
      <c r="P10" s="4" t="s">
        <v>33</v>
      </c>
      <c r="Q10" s="4" t="s">
        <v>52</v>
      </c>
      <c r="R10" s="4" t="s">
        <v>72</v>
      </c>
      <c r="S10" s="4" t="s">
        <v>36</v>
      </c>
      <c r="T10" s="8" t="s">
        <v>37</v>
      </c>
      <c r="U10" s="4" t="s">
        <v>38</v>
      </c>
      <c r="V10" s="9" t="s">
        <v>39</v>
      </c>
    </row>
    <row r="11" customFormat="false" ht="15" hidden="false" customHeight="false" outlineLevel="0" collapsed="false">
      <c r="A11" s="4" t="s">
        <v>73</v>
      </c>
      <c r="B11" s="4" t="s">
        <v>74</v>
      </c>
      <c r="C11" s="4" t="s">
        <v>75</v>
      </c>
      <c r="D11" s="4" t="s">
        <v>76</v>
      </c>
      <c r="E11" s="4" t="s">
        <v>49</v>
      </c>
      <c r="F11" s="4" t="s">
        <v>29</v>
      </c>
      <c r="G11" s="4" t="s">
        <v>30</v>
      </c>
      <c r="H11" s="5" t="n">
        <v>5</v>
      </c>
      <c r="I11" s="6" t="n">
        <v>600</v>
      </c>
      <c r="J11" s="6"/>
      <c r="K11" s="7" t="n">
        <v>10000</v>
      </c>
      <c r="L11" s="7" t="n">
        <v>10000</v>
      </c>
      <c r="M11" s="4" t="s">
        <v>71</v>
      </c>
      <c r="N11" s="5" t="n">
        <v>10</v>
      </c>
      <c r="O11" s="4" t="s">
        <v>77</v>
      </c>
      <c r="P11" s="4" t="s">
        <v>33</v>
      </c>
      <c r="Q11" s="4" t="s">
        <v>52</v>
      </c>
      <c r="R11" s="4" t="s">
        <v>53</v>
      </c>
      <c r="S11" s="4" t="s">
        <v>36</v>
      </c>
      <c r="T11" s="8" t="s">
        <v>37</v>
      </c>
      <c r="U11" s="4" t="s">
        <v>38</v>
      </c>
      <c r="V11" s="9" t="s">
        <v>39</v>
      </c>
    </row>
    <row r="12" customFormat="false" ht="15" hidden="false" customHeight="false" outlineLevel="0" collapsed="false">
      <c r="A12" s="4" t="s">
        <v>78</v>
      </c>
      <c r="B12" s="4" t="s">
        <v>74</v>
      </c>
      <c r="C12" s="4" t="s">
        <v>75</v>
      </c>
      <c r="D12" s="4" t="s">
        <v>76</v>
      </c>
      <c r="E12" s="4" t="s">
        <v>49</v>
      </c>
      <c r="F12" s="4" t="s">
        <v>29</v>
      </c>
      <c r="G12" s="4" t="s">
        <v>30</v>
      </c>
      <c r="H12" s="5" t="n">
        <v>5</v>
      </c>
      <c r="I12" s="6" t="n">
        <v>600</v>
      </c>
      <c r="J12" s="6"/>
      <c r="K12" s="7" t="n">
        <v>10000</v>
      </c>
      <c r="L12" s="7" t="n">
        <v>10000</v>
      </c>
      <c r="M12" s="4" t="s">
        <v>71</v>
      </c>
      <c r="N12" s="5" t="n">
        <v>10</v>
      </c>
      <c r="O12" s="4" t="s">
        <v>77</v>
      </c>
      <c r="P12" s="4" t="s">
        <v>33</v>
      </c>
      <c r="Q12" s="4" t="s">
        <v>52</v>
      </c>
      <c r="R12" s="4" t="s">
        <v>53</v>
      </c>
      <c r="S12" s="4" t="s">
        <v>36</v>
      </c>
      <c r="T12" s="8" t="s">
        <v>37</v>
      </c>
      <c r="U12" s="4" t="s">
        <v>38</v>
      </c>
      <c r="V12" s="9" t="s">
        <v>39</v>
      </c>
    </row>
    <row r="13" customFormat="false" ht="15" hidden="false" customHeight="false" outlineLevel="0" collapsed="false">
      <c r="A13" s="4" t="s">
        <v>79</v>
      </c>
      <c r="B13" s="4" t="s">
        <v>74</v>
      </c>
      <c r="C13" s="4" t="s">
        <v>75</v>
      </c>
      <c r="D13" s="4" t="s">
        <v>76</v>
      </c>
      <c r="E13" s="4" t="s">
        <v>49</v>
      </c>
      <c r="F13" s="4" t="s">
        <v>29</v>
      </c>
      <c r="G13" s="4" t="s">
        <v>30</v>
      </c>
      <c r="H13" s="5" t="n">
        <v>5</v>
      </c>
      <c r="I13" s="6" t="n">
        <v>600</v>
      </c>
      <c r="J13" s="6"/>
      <c r="K13" s="7" t="n">
        <v>10000</v>
      </c>
      <c r="L13" s="7" t="n">
        <v>10000</v>
      </c>
      <c r="M13" s="4" t="s">
        <v>71</v>
      </c>
      <c r="N13" s="5" t="n">
        <v>10</v>
      </c>
      <c r="O13" s="4" t="s">
        <v>77</v>
      </c>
      <c r="P13" s="4" t="s">
        <v>33</v>
      </c>
      <c r="Q13" s="4" t="s">
        <v>52</v>
      </c>
      <c r="R13" s="4" t="s">
        <v>53</v>
      </c>
      <c r="S13" s="4" t="s">
        <v>36</v>
      </c>
      <c r="T13" s="8" t="s">
        <v>37</v>
      </c>
      <c r="U13" s="4" t="s">
        <v>38</v>
      </c>
      <c r="V13" s="9" t="s">
        <v>39</v>
      </c>
    </row>
    <row r="14" customFormat="false" ht="15" hidden="false" customHeight="false" outlineLevel="0" collapsed="false">
      <c r="A14" s="4" t="s">
        <v>80</v>
      </c>
      <c r="B14" s="4" t="s">
        <v>74</v>
      </c>
      <c r="C14" s="4" t="s">
        <v>75</v>
      </c>
      <c r="D14" s="4" t="s">
        <v>76</v>
      </c>
      <c r="E14" s="4" t="s">
        <v>49</v>
      </c>
      <c r="F14" s="4" t="s">
        <v>29</v>
      </c>
      <c r="G14" s="4" t="s">
        <v>30</v>
      </c>
      <c r="H14" s="5" t="n">
        <v>5</v>
      </c>
      <c r="I14" s="6" t="n">
        <v>600</v>
      </c>
      <c r="J14" s="6"/>
      <c r="K14" s="7" t="n">
        <v>10000</v>
      </c>
      <c r="L14" s="7" t="n">
        <v>10000</v>
      </c>
      <c r="M14" s="4" t="s">
        <v>71</v>
      </c>
      <c r="N14" s="5" t="n">
        <v>10</v>
      </c>
      <c r="O14" s="4" t="s">
        <v>77</v>
      </c>
      <c r="P14" s="4" t="s">
        <v>33</v>
      </c>
      <c r="Q14" s="4" t="s">
        <v>52</v>
      </c>
      <c r="R14" s="4" t="s">
        <v>53</v>
      </c>
      <c r="S14" s="4" t="s">
        <v>36</v>
      </c>
      <c r="T14" s="8" t="s">
        <v>37</v>
      </c>
      <c r="U14" s="4" t="s">
        <v>38</v>
      </c>
      <c r="V14" s="9" t="s">
        <v>39</v>
      </c>
    </row>
    <row r="15" customFormat="false" ht="15" hidden="false" customHeight="false" outlineLevel="0" collapsed="false">
      <c r="A15" s="4" t="s">
        <v>81</v>
      </c>
      <c r="B15" s="4" t="s">
        <v>25</v>
      </c>
      <c r="C15" s="4" t="s">
        <v>26</v>
      </c>
      <c r="D15" s="4" t="s">
        <v>82</v>
      </c>
      <c r="E15" s="4" t="s">
        <v>28</v>
      </c>
      <c r="F15" s="4" t="s">
        <v>29</v>
      </c>
      <c r="G15" s="4" t="s">
        <v>30</v>
      </c>
      <c r="H15" s="5" t="n">
        <v>6</v>
      </c>
      <c r="I15" s="6" t="n">
        <v>350</v>
      </c>
      <c r="J15" s="6"/>
      <c r="K15" s="7" t="n">
        <v>100</v>
      </c>
      <c r="L15" s="7" t="n">
        <v>100</v>
      </c>
      <c r="M15" s="4" t="s">
        <v>31</v>
      </c>
      <c r="N15" s="5" t="n">
        <v>22.1</v>
      </c>
      <c r="O15" s="4" t="s">
        <v>32</v>
      </c>
      <c r="P15" s="4" t="s">
        <v>33</v>
      </c>
      <c r="Q15" s="4" t="s">
        <v>34</v>
      </c>
      <c r="R15" s="4" t="s">
        <v>35</v>
      </c>
      <c r="S15" s="4" t="s">
        <v>36</v>
      </c>
      <c r="T15" s="8" t="s">
        <v>37</v>
      </c>
      <c r="U15" s="4" t="s">
        <v>38</v>
      </c>
      <c r="V15" s="9" t="s">
        <v>39</v>
      </c>
    </row>
    <row r="16" customFormat="false" ht="15" hidden="false" customHeight="false" outlineLevel="0" collapsed="false">
      <c r="A16" s="4" t="s">
        <v>83</v>
      </c>
      <c r="B16" s="4" t="s">
        <v>41</v>
      </c>
      <c r="C16" s="4" t="s">
        <v>42</v>
      </c>
      <c r="D16" s="4" t="s">
        <v>84</v>
      </c>
      <c r="E16" s="4" t="s">
        <v>28</v>
      </c>
      <c r="F16" s="4" t="s">
        <v>29</v>
      </c>
      <c r="G16" s="4" t="s">
        <v>30</v>
      </c>
      <c r="H16" s="5" t="n">
        <v>6</v>
      </c>
      <c r="I16" s="6" t="n">
        <v>350</v>
      </c>
      <c r="J16" s="6"/>
      <c r="K16" s="7" t="n">
        <v>100</v>
      </c>
      <c r="L16" s="7" t="n">
        <v>100</v>
      </c>
      <c r="M16" s="4" t="s">
        <v>31</v>
      </c>
      <c r="N16" s="5"/>
      <c r="O16" s="4" t="s">
        <v>44</v>
      </c>
      <c r="P16" s="4" t="s">
        <v>36</v>
      </c>
      <c r="Q16" s="4" t="s">
        <v>34</v>
      </c>
      <c r="R16" s="4" t="s">
        <v>45</v>
      </c>
      <c r="S16" s="4" t="s">
        <v>36</v>
      </c>
      <c r="T16" s="8" t="s">
        <v>37</v>
      </c>
      <c r="U16" s="4" t="s">
        <v>38</v>
      </c>
      <c r="V16" s="9" t="s">
        <v>39</v>
      </c>
    </row>
    <row r="17" customFormat="false" ht="15" hidden="false" customHeight="false" outlineLevel="0" collapsed="false">
      <c r="A17" s="4" t="s">
        <v>85</v>
      </c>
      <c r="B17" s="4" t="s">
        <v>68</v>
      </c>
      <c r="C17" s="4" t="s">
        <v>69</v>
      </c>
      <c r="D17" s="4" t="s">
        <v>86</v>
      </c>
      <c r="E17" s="4" t="s">
        <v>49</v>
      </c>
      <c r="F17" s="4" t="s">
        <v>29</v>
      </c>
      <c r="G17" s="4" t="s">
        <v>30</v>
      </c>
      <c r="H17" s="5" t="n">
        <v>6</v>
      </c>
      <c r="I17" s="6" t="n">
        <v>600</v>
      </c>
      <c r="J17" s="6" t="n">
        <v>600</v>
      </c>
      <c r="K17" s="7" t="n">
        <v>10000</v>
      </c>
      <c r="L17" s="7" t="n">
        <v>10000</v>
      </c>
      <c r="M17" s="4" t="s">
        <v>71</v>
      </c>
      <c r="N17" s="5" t="n">
        <v>41.76</v>
      </c>
      <c r="O17" s="4" t="s">
        <v>58</v>
      </c>
      <c r="P17" s="4" t="s">
        <v>33</v>
      </c>
      <c r="Q17" s="4" t="s">
        <v>52</v>
      </c>
      <c r="R17" s="4" t="s">
        <v>72</v>
      </c>
      <c r="S17" s="4" t="s">
        <v>36</v>
      </c>
      <c r="T17" s="8" t="s">
        <v>37</v>
      </c>
      <c r="U17" s="4" t="s">
        <v>38</v>
      </c>
      <c r="V17" s="9" t="s">
        <v>39</v>
      </c>
    </row>
    <row r="18" customFormat="false" ht="15" hidden="false" customHeight="false" outlineLevel="0" collapsed="false">
      <c r="A18" s="4" t="s">
        <v>87</v>
      </c>
      <c r="B18" s="4" t="s">
        <v>74</v>
      </c>
      <c r="C18" s="4" t="s">
        <v>75</v>
      </c>
      <c r="D18" s="4" t="s">
        <v>88</v>
      </c>
      <c r="E18" s="4" t="s">
        <v>49</v>
      </c>
      <c r="F18" s="4" t="s">
        <v>29</v>
      </c>
      <c r="G18" s="4" t="s">
        <v>30</v>
      </c>
      <c r="H18" s="5" t="n">
        <v>6</v>
      </c>
      <c r="I18" s="6" t="n">
        <v>600</v>
      </c>
      <c r="J18" s="6"/>
      <c r="K18" s="7" t="n">
        <v>10000</v>
      </c>
      <c r="L18" s="7" t="n">
        <v>10000</v>
      </c>
      <c r="M18" s="4" t="s">
        <v>71</v>
      </c>
      <c r="N18" s="5" t="n">
        <v>24</v>
      </c>
      <c r="O18" s="4" t="s">
        <v>77</v>
      </c>
      <c r="P18" s="4" t="s">
        <v>33</v>
      </c>
      <c r="Q18" s="4" t="s">
        <v>52</v>
      </c>
      <c r="R18" s="4" t="s">
        <v>53</v>
      </c>
      <c r="S18" s="4" t="s">
        <v>36</v>
      </c>
      <c r="T18" s="8" t="s">
        <v>37</v>
      </c>
      <c r="U18" s="4" t="s">
        <v>38</v>
      </c>
      <c r="V18" s="9" t="s">
        <v>39</v>
      </c>
    </row>
    <row r="19" customFormat="false" ht="15" hidden="false" customHeight="false" outlineLevel="0" collapsed="false">
      <c r="A19" s="4" t="s">
        <v>89</v>
      </c>
      <c r="B19" s="4" t="s">
        <v>74</v>
      </c>
      <c r="C19" s="4" t="s">
        <v>75</v>
      </c>
      <c r="D19" s="4" t="s">
        <v>88</v>
      </c>
      <c r="E19" s="4" t="s">
        <v>49</v>
      </c>
      <c r="F19" s="4" t="s">
        <v>29</v>
      </c>
      <c r="G19" s="4" t="s">
        <v>30</v>
      </c>
      <c r="H19" s="5" t="n">
        <v>6</v>
      </c>
      <c r="I19" s="6" t="n">
        <v>600</v>
      </c>
      <c r="J19" s="6"/>
      <c r="K19" s="7" t="n">
        <v>10000</v>
      </c>
      <c r="L19" s="7" t="n">
        <v>10000</v>
      </c>
      <c r="M19" s="4" t="s">
        <v>71</v>
      </c>
      <c r="N19" s="5" t="n">
        <v>24</v>
      </c>
      <c r="O19" s="4" t="s">
        <v>77</v>
      </c>
      <c r="P19" s="4" t="s">
        <v>33</v>
      </c>
      <c r="Q19" s="4" t="s">
        <v>52</v>
      </c>
      <c r="R19" s="4" t="s">
        <v>53</v>
      </c>
      <c r="S19" s="4" t="s">
        <v>36</v>
      </c>
      <c r="T19" s="8" t="s">
        <v>37</v>
      </c>
      <c r="U19" s="4" t="s">
        <v>38</v>
      </c>
      <c r="V19" s="9" t="s">
        <v>39</v>
      </c>
    </row>
    <row r="20" customFormat="false" ht="15" hidden="false" customHeight="false" outlineLevel="0" collapsed="false">
      <c r="A20" s="4" t="s">
        <v>90</v>
      </c>
      <c r="B20" s="4" t="s">
        <v>74</v>
      </c>
      <c r="C20" s="4" t="s">
        <v>75</v>
      </c>
      <c r="D20" s="4" t="s">
        <v>91</v>
      </c>
      <c r="E20" s="4" t="s">
        <v>49</v>
      </c>
      <c r="F20" s="4" t="s">
        <v>29</v>
      </c>
      <c r="G20" s="4" t="s">
        <v>30</v>
      </c>
      <c r="H20" s="5" t="n">
        <v>6</v>
      </c>
      <c r="I20" s="6" t="n">
        <v>600</v>
      </c>
      <c r="J20" s="6"/>
      <c r="K20" s="7" t="n">
        <v>10000</v>
      </c>
      <c r="L20" s="7" t="n">
        <v>10000</v>
      </c>
      <c r="M20" s="4" t="s">
        <v>71</v>
      </c>
      <c r="N20" s="5" t="n">
        <v>24</v>
      </c>
      <c r="O20" s="4" t="s">
        <v>77</v>
      </c>
      <c r="P20" s="4" t="s">
        <v>33</v>
      </c>
      <c r="Q20" s="4" t="s">
        <v>52</v>
      </c>
      <c r="R20" s="4" t="s">
        <v>53</v>
      </c>
      <c r="S20" s="4" t="s">
        <v>36</v>
      </c>
      <c r="T20" s="8" t="s">
        <v>37</v>
      </c>
      <c r="U20" s="4" t="s">
        <v>38</v>
      </c>
      <c r="V20" s="10" t="s">
        <v>92</v>
      </c>
    </row>
    <row r="21" customFormat="false" ht="15" hidden="false" customHeight="false" outlineLevel="0" collapsed="false">
      <c r="A21" s="4" t="s">
        <v>93</v>
      </c>
      <c r="B21" s="4" t="s">
        <v>74</v>
      </c>
      <c r="C21" s="4" t="s">
        <v>75</v>
      </c>
      <c r="D21" s="4" t="s">
        <v>88</v>
      </c>
      <c r="E21" s="4" t="s">
        <v>49</v>
      </c>
      <c r="F21" s="4" t="s">
        <v>29</v>
      </c>
      <c r="G21" s="4" t="s">
        <v>30</v>
      </c>
      <c r="H21" s="5" t="n">
        <v>6</v>
      </c>
      <c r="I21" s="6" t="n">
        <v>600</v>
      </c>
      <c r="J21" s="6"/>
      <c r="K21" s="7" t="n">
        <v>10000</v>
      </c>
      <c r="L21" s="7" t="n">
        <v>10000</v>
      </c>
      <c r="M21" s="4" t="s">
        <v>71</v>
      </c>
      <c r="N21" s="5" t="n">
        <v>24</v>
      </c>
      <c r="O21" s="4" t="s">
        <v>77</v>
      </c>
      <c r="P21" s="4" t="s">
        <v>33</v>
      </c>
      <c r="Q21" s="4" t="s">
        <v>52</v>
      </c>
      <c r="R21" s="4" t="s">
        <v>53</v>
      </c>
      <c r="S21" s="4" t="s">
        <v>36</v>
      </c>
      <c r="T21" s="8" t="s">
        <v>37</v>
      </c>
      <c r="U21" s="4" t="s">
        <v>38</v>
      </c>
      <c r="V21" s="9" t="s">
        <v>39</v>
      </c>
    </row>
    <row r="22" customFormat="false" ht="15" hidden="false" customHeight="false" outlineLevel="0" collapsed="false">
      <c r="A22" s="4" t="s">
        <v>94</v>
      </c>
      <c r="B22" s="4" t="s">
        <v>25</v>
      </c>
      <c r="C22" s="4" t="s">
        <v>47</v>
      </c>
      <c r="D22" s="4" t="s">
        <v>95</v>
      </c>
      <c r="E22" s="4" t="s">
        <v>49</v>
      </c>
      <c r="F22" s="4" t="s">
        <v>29</v>
      </c>
      <c r="G22" s="4" t="s">
        <v>30</v>
      </c>
      <c r="H22" s="5" t="n">
        <v>6.3</v>
      </c>
      <c r="I22" s="6" t="n">
        <v>500</v>
      </c>
      <c r="J22" s="6"/>
      <c r="K22" s="7" t="n">
        <v>5000</v>
      </c>
      <c r="L22" s="7" t="n">
        <v>5000</v>
      </c>
      <c r="M22" s="4" t="s">
        <v>50</v>
      </c>
      <c r="N22" s="5" t="n">
        <v>13.5</v>
      </c>
      <c r="O22" s="4" t="s">
        <v>51</v>
      </c>
      <c r="P22" s="4" t="s">
        <v>33</v>
      </c>
      <c r="Q22" s="4" t="s">
        <v>52</v>
      </c>
      <c r="R22" s="4" t="s">
        <v>53</v>
      </c>
      <c r="S22" s="4" t="s">
        <v>36</v>
      </c>
      <c r="T22" s="8" t="s">
        <v>37</v>
      </c>
      <c r="U22" s="4" t="s">
        <v>38</v>
      </c>
      <c r="V22" s="9" t="s">
        <v>39</v>
      </c>
    </row>
    <row r="23" customFormat="false" ht="15" hidden="false" customHeight="false" outlineLevel="0" collapsed="false">
      <c r="A23" s="4" t="s">
        <v>96</v>
      </c>
      <c r="B23" s="4" t="s">
        <v>55</v>
      </c>
      <c r="C23" s="4" t="s">
        <v>56</v>
      </c>
      <c r="D23" s="4" t="s">
        <v>95</v>
      </c>
      <c r="E23" s="4" t="s">
        <v>49</v>
      </c>
      <c r="F23" s="4" t="s">
        <v>29</v>
      </c>
      <c r="G23" s="4" t="s">
        <v>30</v>
      </c>
      <c r="H23" s="5" t="n">
        <v>6.3</v>
      </c>
      <c r="I23" s="6" t="n">
        <v>500</v>
      </c>
      <c r="J23" s="6" t="n">
        <v>400</v>
      </c>
      <c r="K23" s="7" t="n">
        <v>1500</v>
      </c>
      <c r="L23" s="7" t="n">
        <v>1500</v>
      </c>
      <c r="M23" s="4" t="s">
        <v>57</v>
      </c>
      <c r="N23" s="5"/>
      <c r="O23" s="4" t="s">
        <v>58</v>
      </c>
      <c r="P23" s="4" t="s">
        <v>59</v>
      </c>
      <c r="Q23" s="4" t="s">
        <v>52</v>
      </c>
      <c r="R23" s="4" t="s">
        <v>60</v>
      </c>
      <c r="S23" s="4" t="s">
        <v>36</v>
      </c>
      <c r="T23" s="8" t="s">
        <v>37</v>
      </c>
      <c r="U23" s="4" t="s">
        <v>38</v>
      </c>
      <c r="V23" s="9" t="s">
        <v>39</v>
      </c>
    </row>
    <row r="24" customFormat="false" ht="15" hidden="false" customHeight="false" outlineLevel="0" collapsed="false">
      <c r="A24" s="4" t="s">
        <v>97</v>
      </c>
      <c r="B24" s="4" t="s">
        <v>25</v>
      </c>
      <c r="C24" s="4" t="s">
        <v>26</v>
      </c>
      <c r="D24" s="4" t="s">
        <v>98</v>
      </c>
      <c r="E24" s="4" t="s">
        <v>28</v>
      </c>
      <c r="F24" s="4" t="s">
        <v>29</v>
      </c>
      <c r="G24" s="4" t="s">
        <v>30</v>
      </c>
      <c r="H24" s="5" t="n">
        <v>7</v>
      </c>
      <c r="I24" s="6" t="n">
        <v>350</v>
      </c>
      <c r="J24" s="6"/>
      <c r="K24" s="7" t="n">
        <v>100</v>
      </c>
      <c r="L24" s="7" t="n">
        <v>100</v>
      </c>
      <c r="M24" s="4" t="s">
        <v>31</v>
      </c>
      <c r="N24" s="5" t="n">
        <v>40</v>
      </c>
      <c r="O24" s="4" t="s">
        <v>32</v>
      </c>
      <c r="P24" s="4" t="s">
        <v>33</v>
      </c>
      <c r="Q24" s="4" t="s">
        <v>34</v>
      </c>
      <c r="R24" s="4" t="s">
        <v>35</v>
      </c>
      <c r="S24" s="4" t="s">
        <v>36</v>
      </c>
      <c r="T24" s="8" t="s">
        <v>37</v>
      </c>
      <c r="U24" s="4" t="s">
        <v>38</v>
      </c>
      <c r="V24" s="9" t="s">
        <v>39</v>
      </c>
    </row>
    <row r="25" customFormat="false" ht="15" hidden="false" customHeight="false" outlineLevel="0" collapsed="false">
      <c r="A25" s="4" t="s">
        <v>99</v>
      </c>
      <c r="B25" s="4" t="s">
        <v>41</v>
      </c>
      <c r="C25" s="4" t="s">
        <v>42</v>
      </c>
      <c r="D25" s="4" t="s">
        <v>100</v>
      </c>
      <c r="E25" s="4" t="s">
        <v>28</v>
      </c>
      <c r="F25" s="4" t="s">
        <v>29</v>
      </c>
      <c r="G25" s="4" t="s">
        <v>30</v>
      </c>
      <c r="H25" s="5" t="n">
        <v>7</v>
      </c>
      <c r="I25" s="6" t="n">
        <v>350</v>
      </c>
      <c r="J25" s="6"/>
      <c r="K25" s="7" t="n">
        <v>100</v>
      </c>
      <c r="L25" s="7" t="n">
        <v>100</v>
      </c>
      <c r="M25" s="4" t="s">
        <v>31</v>
      </c>
      <c r="N25" s="5"/>
      <c r="O25" s="4" t="s">
        <v>44</v>
      </c>
      <c r="P25" s="4" t="s">
        <v>36</v>
      </c>
      <c r="Q25" s="4" t="s">
        <v>34</v>
      </c>
      <c r="R25" s="4" t="s">
        <v>45</v>
      </c>
      <c r="S25" s="4" t="s">
        <v>36</v>
      </c>
      <c r="T25" s="8" t="s">
        <v>37</v>
      </c>
      <c r="U25" s="4" t="s">
        <v>38</v>
      </c>
      <c r="V25" s="9" t="s">
        <v>39</v>
      </c>
    </row>
    <row r="26" customFormat="false" ht="15" hidden="false" customHeight="false" outlineLevel="0" collapsed="false">
      <c r="A26" s="4" t="s">
        <v>101</v>
      </c>
      <c r="B26" s="4" t="s">
        <v>25</v>
      </c>
      <c r="C26" s="4" t="s">
        <v>26</v>
      </c>
      <c r="D26" s="4" t="s">
        <v>102</v>
      </c>
      <c r="E26" s="4" t="s">
        <v>28</v>
      </c>
      <c r="F26" s="4" t="s">
        <v>29</v>
      </c>
      <c r="G26" s="4" t="s">
        <v>30</v>
      </c>
      <c r="H26" s="5" t="n">
        <v>8</v>
      </c>
      <c r="I26" s="6" t="n">
        <v>350</v>
      </c>
      <c r="J26" s="6"/>
      <c r="K26" s="7" t="n">
        <v>100</v>
      </c>
      <c r="L26" s="7" t="n">
        <v>100</v>
      </c>
      <c r="M26" s="4" t="s">
        <v>31</v>
      </c>
      <c r="N26" s="5" t="n">
        <v>56</v>
      </c>
      <c r="O26" s="4" t="s">
        <v>32</v>
      </c>
      <c r="P26" s="4" t="s">
        <v>33</v>
      </c>
      <c r="Q26" s="4" t="s">
        <v>34</v>
      </c>
      <c r="R26" s="4" t="s">
        <v>35</v>
      </c>
      <c r="S26" s="4" t="s">
        <v>36</v>
      </c>
      <c r="T26" s="8" t="s">
        <v>37</v>
      </c>
      <c r="U26" s="4" t="s">
        <v>38</v>
      </c>
      <c r="V26" s="9" t="s">
        <v>39</v>
      </c>
    </row>
    <row r="27" customFormat="false" ht="15" hidden="false" customHeight="false" outlineLevel="0" collapsed="false">
      <c r="A27" s="4" t="s">
        <v>103</v>
      </c>
      <c r="B27" s="4" t="s">
        <v>25</v>
      </c>
      <c r="C27" s="4" t="s">
        <v>104</v>
      </c>
      <c r="D27" s="4" t="s">
        <v>105</v>
      </c>
      <c r="E27" s="4" t="s">
        <v>49</v>
      </c>
      <c r="F27" s="4" t="s">
        <v>29</v>
      </c>
      <c r="G27" s="4" t="s">
        <v>30</v>
      </c>
      <c r="H27" s="5" t="n">
        <v>8</v>
      </c>
      <c r="I27" s="6" t="n">
        <v>420</v>
      </c>
      <c r="J27" s="6" t="n">
        <v>420</v>
      </c>
      <c r="K27" s="7" t="n">
        <v>200</v>
      </c>
      <c r="L27" s="7" t="n">
        <v>300</v>
      </c>
      <c r="M27" s="4" t="s">
        <v>106</v>
      </c>
      <c r="N27" s="5" t="n">
        <v>65</v>
      </c>
      <c r="O27" s="4" t="s">
        <v>107</v>
      </c>
      <c r="P27" s="4" t="s">
        <v>33</v>
      </c>
      <c r="Q27" s="4" t="s">
        <v>108</v>
      </c>
      <c r="R27" s="4" t="s">
        <v>109</v>
      </c>
      <c r="S27" s="4" t="s">
        <v>36</v>
      </c>
      <c r="T27" s="8" t="s">
        <v>37</v>
      </c>
      <c r="U27" s="4" t="s">
        <v>38</v>
      </c>
      <c r="V27" s="9" t="s">
        <v>39</v>
      </c>
    </row>
    <row r="28" customFormat="false" ht="15" hidden="false" customHeight="false" outlineLevel="0" collapsed="false">
      <c r="A28" s="4" t="s">
        <v>110</v>
      </c>
      <c r="B28" s="4" t="s">
        <v>74</v>
      </c>
      <c r="C28" s="4" t="s">
        <v>111</v>
      </c>
      <c r="D28" s="4" t="s">
        <v>112</v>
      </c>
      <c r="E28" s="4" t="s">
        <v>49</v>
      </c>
      <c r="F28" s="4" t="s">
        <v>29</v>
      </c>
      <c r="G28" s="4" t="s">
        <v>30</v>
      </c>
      <c r="H28" s="5" t="n">
        <v>8</v>
      </c>
      <c r="I28" s="6" t="n">
        <v>420</v>
      </c>
      <c r="J28" s="6"/>
      <c r="K28" s="7" t="n">
        <v>200</v>
      </c>
      <c r="L28" s="7" t="n">
        <v>200</v>
      </c>
      <c r="M28" s="4" t="s">
        <v>113</v>
      </c>
      <c r="N28" s="5" t="n">
        <v>104</v>
      </c>
      <c r="O28" s="4" t="s">
        <v>107</v>
      </c>
      <c r="P28" s="4" t="s">
        <v>33</v>
      </c>
      <c r="Q28" s="4" t="s">
        <v>108</v>
      </c>
      <c r="R28" s="4" t="s">
        <v>114</v>
      </c>
      <c r="S28" s="4" t="s">
        <v>36</v>
      </c>
      <c r="T28" s="8" t="s">
        <v>37</v>
      </c>
      <c r="U28" s="4" t="s">
        <v>38</v>
      </c>
      <c r="V28" s="9" t="s">
        <v>39</v>
      </c>
    </row>
    <row r="29" customFormat="false" ht="15" hidden="false" customHeight="false" outlineLevel="0" collapsed="false">
      <c r="A29" s="4" t="s">
        <v>115</v>
      </c>
      <c r="B29" s="4" t="s">
        <v>74</v>
      </c>
      <c r="C29" s="4" t="s">
        <v>111</v>
      </c>
      <c r="D29" s="4" t="s">
        <v>112</v>
      </c>
      <c r="E29" s="4" t="s">
        <v>49</v>
      </c>
      <c r="F29" s="4" t="s">
        <v>29</v>
      </c>
      <c r="G29" s="4" t="s">
        <v>30</v>
      </c>
      <c r="H29" s="5" t="n">
        <v>8</v>
      </c>
      <c r="I29" s="6" t="n">
        <v>420</v>
      </c>
      <c r="J29" s="6"/>
      <c r="K29" s="7" t="n">
        <v>1500</v>
      </c>
      <c r="L29" s="7" t="n">
        <v>1500</v>
      </c>
      <c r="M29" s="4" t="s">
        <v>57</v>
      </c>
      <c r="N29" s="5" t="n">
        <v>104</v>
      </c>
      <c r="O29" s="4" t="s">
        <v>107</v>
      </c>
      <c r="P29" s="4" t="s">
        <v>33</v>
      </c>
      <c r="Q29" s="4" t="s">
        <v>108</v>
      </c>
      <c r="R29" s="4" t="s">
        <v>114</v>
      </c>
      <c r="S29" s="4" t="s">
        <v>36</v>
      </c>
      <c r="T29" s="8" t="s">
        <v>37</v>
      </c>
      <c r="U29" s="4" t="s">
        <v>38</v>
      </c>
      <c r="V29" s="9" t="s">
        <v>39</v>
      </c>
    </row>
    <row r="30" customFormat="false" ht="15" hidden="false" customHeight="false" outlineLevel="0" collapsed="false">
      <c r="A30" s="4" t="s">
        <v>116</v>
      </c>
      <c r="B30" s="4" t="s">
        <v>25</v>
      </c>
      <c r="C30" s="4" t="s">
        <v>47</v>
      </c>
      <c r="D30" s="4" t="s">
        <v>117</v>
      </c>
      <c r="E30" s="4" t="s">
        <v>49</v>
      </c>
      <c r="F30" s="4" t="s">
        <v>29</v>
      </c>
      <c r="G30" s="4" t="s">
        <v>30</v>
      </c>
      <c r="H30" s="5" t="n">
        <v>8</v>
      </c>
      <c r="I30" s="6" t="n">
        <v>500</v>
      </c>
      <c r="J30" s="6"/>
      <c r="K30" s="7" t="n">
        <v>5000</v>
      </c>
      <c r="L30" s="7" t="n">
        <v>5000</v>
      </c>
      <c r="M30" s="4" t="s">
        <v>50</v>
      </c>
      <c r="N30" s="5" t="n">
        <v>28.8</v>
      </c>
      <c r="O30" s="4" t="s">
        <v>51</v>
      </c>
      <c r="P30" s="4" t="s">
        <v>33</v>
      </c>
      <c r="Q30" s="4" t="s">
        <v>52</v>
      </c>
      <c r="R30" s="4" t="s">
        <v>53</v>
      </c>
      <c r="S30" s="4" t="s">
        <v>36</v>
      </c>
      <c r="T30" s="8" t="s">
        <v>37</v>
      </c>
      <c r="U30" s="4" t="s">
        <v>38</v>
      </c>
      <c r="V30" s="9" t="s">
        <v>39</v>
      </c>
    </row>
    <row r="31" customFormat="false" ht="15" hidden="false" customHeight="false" outlineLevel="0" collapsed="false">
      <c r="A31" s="4" t="s">
        <v>118</v>
      </c>
      <c r="B31" s="4" t="s">
        <v>55</v>
      </c>
      <c r="C31" s="4" t="s">
        <v>56</v>
      </c>
      <c r="D31" s="4" t="s">
        <v>117</v>
      </c>
      <c r="E31" s="4" t="s">
        <v>49</v>
      </c>
      <c r="F31" s="4" t="s">
        <v>29</v>
      </c>
      <c r="G31" s="4" t="s">
        <v>30</v>
      </c>
      <c r="H31" s="5" t="n">
        <v>8</v>
      </c>
      <c r="I31" s="6" t="n">
        <v>500</v>
      </c>
      <c r="J31" s="6"/>
      <c r="K31" s="7" t="n">
        <v>1500</v>
      </c>
      <c r="L31" s="7" t="n">
        <v>1500</v>
      </c>
      <c r="M31" s="4" t="s">
        <v>57</v>
      </c>
      <c r="N31" s="5" t="n">
        <v>120</v>
      </c>
      <c r="O31" s="4" t="s">
        <v>58</v>
      </c>
      <c r="P31" s="4" t="s">
        <v>59</v>
      </c>
      <c r="Q31" s="4" t="s">
        <v>52</v>
      </c>
      <c r="R31" s="4" t="s">
        <v>60</v>
      </c>
      <c r="S31" s="4" t="s">
        <v>36</v>
      </c>
      <c r="T31" s="8" t="s">
        <v>37</v>
      </c>
      <c r="U31" s="4" t="s">
        <v>38</v>
      </c>
      <c r="V31" s="9" t="s">
        <v>39</v>
      </c>
    </row>
    <row r="32" customFormat="false" ht="15" hidden="false" customHeight="false" outlineLevel="0" collapsed="false">
      <c r="A32" s="4" t="s">
        <v>119</v>
      </c>
      <c r="B32" s="4" t="s">
        <v>68</v>
      </c>
      <c r="C32" s="4" t="s">
        <v>69</v>
      </c>
      <c r="D32" s="4" t="s">
        <v>120</v>
      </c>
      <c r="E32" s="4" t="s">
        <v>49</v>
      </c>
      <c r="F32" s="4" t="s">
        <v>29</v>
      </c>
      <c r="G32" s="4" t="s">
        <v>30</v>
      </c>
      <c r="H32" s="5" t="n">
        <v>8</v>
      </c>
      <c r="I32" s="6" t="n">
        <v>600</v>
      </c>
      <c r="J32" s="6" t="n">
        <v>600</v>
      </c>
      <c r="K32" s="7" t="n">
        <v>10000</v>
      </c>
      <c r="L32" s="7" t="n">
        <v>10000</v>
      </c>
      <c r="M32" s="4" t="s">
        <v>71</v>
      </c>
      <c r="N32" s="5" t="n">
        <v>76.8</v>
      </c>
      <c r="O32" s="4" t="s">
        <v>58</v>
      </c>
      <c r="P32" s="4" t="s">
        <v>33</v>
      </c>
      <c r="Q32" s="4" t="s">
        <v>52</v>
      </c>
      <c r="R32" s="4" t="s">
        <v>72</v>
      </c>
      <c r="S32" s="4" t="s">
        <v>36</v>
      </c>
      <c r="T32" s="8" t="s">
        <v>37</v>
      </c>
      <c r="U32" s="4" t="s">
        <v>38</v>
      </c>
      <c r="V32" s="9" t="s">
        <v>39</v>
      </c>
    </row>
    <row r="33" customFormat="false" ht="15" hidden="false" customHeight="false" outlineLevel="0" collapsed="false">
      <c r="A33" s="4" t="s">
        <v>121</v>
      </c>
      <c r="B33" s="4" t="s">
        <v>74</v>
      </c>
      <c r="C33" s="4" t="s">
        <v>75</v>
      </c>
      <c r="D33" s="4" t="s">
        <v>122</v>
      </c>
      <c r="E33" s="4" t="s">
        <v>49</v>
      </c>
      <c r="F33" s="4" t="s">
        <v>29</v>
      </c>
      <c r="G33" s="4" t="s">
        <v>30</v>
      </c>
      <c r="H33" s="5" t="n">
        <v>8</v>
      </c>
      <c r="I33" s="6" t="n">
        <v>600</v>
      </c>
      <c r="J33" s="6"/>
      <c r="K33" s="7" t="n">
        <v>10000</v>
      </c>
      <c r="L33" s="7" t="n">
        <v>10000</v>
      </c>
      <c r="M33" s="4" t="s">
        <v>71</v>
      </c>
      <c r="N33" s="5" t="n">
        <v>35</v>
      </c>
      <c r="O33" s="4" t="s">
        <v>77</v>
      </c>
      <c r="P33" s="4" t="s">
        <v>33</v>
      </c>
      <c r="Q33" s="4" t="s">
        <v>52</v>
      </c>
      <c r="R33" s="4" t="s">
        <v>53</v>
      </c>
      <c r="S33" s="4" t="s">
        <v>36</v>
      </c>
      <c r="T33" s="8" t="s">
        <v>37</v>
      </c>
      <c r="U33" s="4" t="s">
        <v>38</v>
      </c>
      <c r="V33" s="9" t="s">
        <v>39</v>
      </c>
    </row>
    <row r="34" customFormat="false" ht="15" hidden="false" customHeight="false" outlineLevel="0" collapsed="false">
      <c r="A34" s="4" t="s">
        <v>123</v>
      </c>
      <c r="B34" s="4" t="s">
        <v>74</v>
      </c>
      <c r="C34" s="4" t="s">
        <v>75</v>
      </c>
      <c r="D34" s="4" t="s">
        <v>122</v>
      </c>
      <c r="E34" s="4" t="s">
        <v>49</v>
      </c>
      <c r="F34" s="4" t="s">
        <v>29</v>
      </c>
      <c r="G34" s="4" t="s">
        <v>30</v>
      </c>
      <c r="H34" s="5" t="n">
        <v>8</v>
      </c>
      <c r="I34" s="6" t="n">
        <v>600</v>
      </c>
      <c r="J34" s="6"/>
      <c r="K34" s="7" t="n">
        <v>10000</v>
      </c>
      <c r="L34" s="7" t="n">
        <v>10000</v>
      </c>
      <c r="M34" s="4" t="s">
        <v>71</v>
      </c>
      <c r="N34" s="5" t="n">
        <v>35</v>
      </c>
      <c r="O34" s="4" t="s">
        <v>77</v>
      </c>
      <c r="P34" s="4" t="s">
        <v>33</v>
      </c>
      <c r="Q34" s="4" t="s">
        <v>52</v>
      </c>
      <c r="R34" s="4" t="s">
        <v>53</v>
      </c>
      <c r="S34" s="4" t="s">
        <v>36</v>
      </c>
      <c r="T34" s="8" t="s">
        <v>37</v>
      </c>
      <c r="U34" s="4" t="s">
        <v>38</v>
      </c>
      <c r="V34" s="9" t="s">
        <v>39</v>
      </c>
    </row>
    <row r="35" customFormat="false" ht="15" hidden="false" customHeight="false" outlineLevel="0" collapsed="false">
      <c r="A35" s="4" t="s">
        <v>124</v>
      </c>
      <c r="B35" s="4" t="s">
        <v>74</v>
      </c>
      <c r="C35" s="4" t="s">
        <v>75</v>
      </c>
      <c r="D35" s="4" t="s">
        <v>122</v>
      </c>
      <c r="E35" s="4" t="s">
        <v>49</v>
      </c>
      <c r="F35" s="4" t="s">
        <v>29</v>
      </c>
      <c r="G35" s="4" t="s">
        <v>30</v>
      </c>
      <c r="H35" s="5" t="n">
        <v>8</v>
      </c>
      <c r="I35" s="6" t="n">
        <v>600</v>
      </c>
      <c r="J35" s="6"/>
      <c r="K35" s="7" t="n">
        <v>10000</v>
      </c>
      <c r="L35" s="7" t="n">
        <v>10000</v>
      </c>
      <c r="M35" s="4" t="s">
        <v>71</v>
      </c>
      <c r="N35" s="5" t="n">
        <v>35</v>
      </c>
      <c r="O35" s="4" t="s">
        <v>77</v>
      </c>
      <c r="P35" s="4" t="s">
        <v>33</v>
      </c>
      <c r="Q35" s="4" t="s">
        <v>52</v>
      </c>
      <c r="R35" s="4" t="s">
        <v>53</v>
      </c>
      <c r="S35" s="4" t="s">
        <v>36</v>
      </c>
      <c r="T35" s="8" t="s">
        <v>37</v>
      </c>
      <c r="U35" s="4" t="s">
        <v>38</v>
      </c>
      <c r="V35" s="9" t="s">
        <v>39</v>
      </c>
    </row>
    <row r="36" customFormat="false" ht="15" hidden="false" customHeight="false" outlineLevel="0" collapsed="false">
      <c r="A36" s="4" t="s">
        <v>125</v>
      </c>
      <c r="B36" s="4" t="s">
        <v>126</v>
      </c>
      <c r="C36" s="4" t="s">
        <v>127</v>
      </c>
      <c r="D36" s="4" t="s">
        <v>128</v>
      </c>
      <c r="E36" s="4" t="s">
        <v>49</v>
      </c>
      <c r="F36" s="4" t="s">
        <v>29</v>
      </c>
      <c r="G36" s="4" t="s">
        <v>30</v>
      </c>
      <c r="H36" s="5" t="n">
        <v>8</v>
      </c>
      <c r="I36" s="6" t="n">
        <v>600</v>
      </c>
      <c r="J36" s="6" t="n">
        <v>170</v>
      </c>
      <c r="K36" s="7" t="n">
        <v>100000</v>
      </c>
      <c r="L36" s="7" t="n">
        <v>10000</v>
      </c>
      <c r="M36" s="4" t="s">
        <v>129</v>
      </c>
      <c r="N36" s="5"/>
      <c r="O36" s="4" t="s">
        <v>130</v>
      </c>
      <c r="P36" s="4" t="s">
        <v>36</v>
      </c>
      <c r="Q36" s="4" t="s">
        <v>131</v>
      </c>
      <c r="R36" s="4" t="s">
        <v>132</v>
      </c>
      <c r="S36" s="4" t="s">
        <v>36</v>
      </c>
      <c r="T36" s="9"/>
      <c r="U36" s="4" t="s">
        <v>38</v>
      </c>
      <c r="V36" s="9" t="s">
        <v>39</v>
      </c>
    </row>
    <row r="37" customFormat="false" ht="15" hidden="false" customHeight="false" outlineLevel="0" collapsed="false">
      <c r="A37" s="4" t="s">
        <v>133</v>
      </c>
      <c r="B37" s="4" t="s">
        <v>74</v>
      </c>
      <c r="C37" s="4" t="s">
        <v>75</v>
      </c>
      <c r="D37" s="4" t="s">
        <v>122</v>
      </c>
      <c r="E37" s="4" t="s">
        <v>49</v>
      </c>
      <c r="F37" s="4" t="s">
        <v>29</v>
      </c>
      <c r="G37" s="4" t="s">
        <v>30</v>
      </c>
      <c r="H37" s="5" t="n">
        <v>8</v>
      </c>
      <c r="I37" s="6" t="n">
        <v>600</v>
      </c>
      <c r="J37" s="6"/>
      <c r="K37" s="7" t="n">
        <v>10000</v>
      </c>
      <c r="L37" s="7" t="n">
        <v>10000</v>
      </c>
      <c r="M37" s="4" t="s">
        <v>71</v>
      </c>
      <c r="N37" s="5" t="n">
        <v>35</v>
      </c>
      <c r="O37" s="4" t="s">
        <v>77</v>
      </c>
      <c r="P37" s="4" t="s">
        <v>33</v>
      </c>
      <c r="Q37" s="4" t="s">
        <v>52</v>
      </c>
      <c r="R37" s="4" t="s">
        <v>53</v>
      </c>
      <c r="S37" s="4" t="s">
        <v>36</v>
      </c>
      <c r="T37" s="8" t="s">
        <v>37</v>
      </c>
      <c r="U37" s="4" t="s">
        <v>38</v>
      </c>
      <c r="V37" s="9" t="s">
        <v>39</v>
      </c>
    </row>
    <row r="38" customFormat="false" ht="15" hidden="false" customHeight="false" outlineLevel="0" collapsed="false">
      <c r="A38" s="4" t="s">
        <v>134</v>
      </c>
      <c r="B38" s="4" t="s">
        <v>25</v>
      </c>
      <c r="C38" s="4" t="s">
        <v>26</v>
      </c>
      <c r="D38" s="4" t="s">
        <v>135</v>
      </c>
      <c r="E38" s="4" t="s">
        <v>28</v>
      </c>
      <c r="F38" s="4" t="s">
        <v>29</v>
      </c>
      <c r="G38" s="4" t="s">
        <v>30</v>
      </c>
      <c r="H38" s="5" t="n">
        <v>10</v>
      </c>
      <c r="I38" s="6" t="n">
        <v>350</v>
      </c>
      <c r="J38" s="6"/>
      <c r="K38" s="7" t="n">
        <v>100</v>
      </c>
      <c r="L38" s="7" t="n">
        <v>100</v>
      </c>
      <c r="M38" s="4" t="s">
        <v>31</v>
      </c>
      <c r="N38" s="5" t="n">
        <v>116</v>
      </c>
      <c r="O38" s="4" t="s">
        <v>32</v>
      </c>
      <c r="P38" s="4" t="s">
        <v>33</v>
      </c>
      <c r="Q38" s="4" t="s">
        <v>34</v>
      </c>
      <c r="R38" s="4" t="s">
        <v>35</v>
      </c>
      <c r="S38" s="4" t="s">
        <v>36</v>
      </c>
      <c r="T38" s="8" t="s">
        <v>37</v>
      </c>
      <c r="U38" s="4" t="s">
        <v>38</v>
      </c>
      <c r="V38" s="9" t="s">
        <v>39</v>
      </c>
    </row>
    <row r="39" customFormat="false" ht="15" hidden="false" customHeight="false" outlineLevel="0" collapsed="false">
      <c r="A39" s="4" t="s">
        <v>136</v>
      </c>
      <c r="B39" s="4" t="s">
        <v>25</v>
      </c>
      <c r="C39" s="4" t="s">
        <v>104</v>
      </c>
      <c r="D39" s="4" t="s">
        <v>137</v>
      </c>
      <c r="E39" s="4" t="s">
        <v>49</v>
      </c>
      <c r="F39" s="4" t="s">
        <v>29</v>
      </c>
      <c r="G39" s="4" t="s">
        <v>30</v>
      </c>
      <c r="H39" s="5" t="n">
        <v>10</v>
      </c>
      <c r="I39" s="6" t="n">
        <v>420</v>
      </c>
      <c r="J39" s="6" t="n">
        <v>420</v>
      </c>
      <c r="K39" s="7" t="n">
        <v>200</v>
      </c>
      <c r="L39" s="7" t="n">
        <v>300</v>
      </c>
      <c r="M39" s="4" t="s">
        <v>106</v>
      </c>
      <c r="N39" s="5" t="n">
        <v>130</v>
      </c>
      <c r="O39" s="4" t="s">
        <v>107</v>
      </c>
      <c r="P39" s="4" t="s">
        <v>33</v>
      </c>
      <c r="Q39" s="4" t="s">
        <v>108</v>
      </c>
      <c r="R39" s="4" t="s">
        <v>109</v>
      </c>
      <c r="S39" s="4" t="s">
        <v>36</v>
      </c>
      <c r="T39" s="8" t="s">
        <v>37</v>
      </c>
      <c r="U39" s="4" t="s">
        <v>38</v>
      </c>
      <c r="V39" s="9" t="s">
        <v>39</v>
      </c>
    </row>
    <row r="40" customFormat="false" ht="15" hidden="false" customHeight="false" outlineLevel="0" collapsed="false">
      <c r="A40" s="4" t="s">
        <v>138</v>
      </c>
      <c r="B40" s="4" t="s">
        <v>74</v>
      </c>
      <c r="C40" s="4" t="s">
        <v>111</v>
      </c>
      <c r="D40" s="4" t="s">
        <v>139</v>
      </c>
      <c r="E40" s="4" t="s">
        <v>49</v>
      </c>
      <c r="F40" s="4" t="s">
        <v>29</v>
      </c>
      <c r="G40" s="4" t="s">
        <v>30</v>
      </c>
      <c r="H40" s="5" t="n">
        <v>10</v>
      </c>
      <c r="I40" s="6" t="n">
        <v>420</v>
      </c>
      <c r="J40" s="6"/>
      <c r="K40" s="7" t="n">
        <v>200</v>
      </c>
      <c r="L40" s="7" t="n">
        <v>200</v>
      </c>
      <c r="M40" s="4" t="s">
        <v>113</v>
      </c>
      <c r="N40" s="5" t="n">
        <v>155</v>
      </c>
      <c r="O40" s="4" t="s">
        <v>107</v>
      </c>
      <c r="P40" s="4" t="s">
        <v>33</v>
      </c>
      <c r="Q40" s="4" t="s">
        <v>108</v>
      </c>
      <c r="R40" s="4" t="s">
        <v>114</v>
      </c>
      <c r="S40" s="4" t="s">
        <v>36</v>
      </c>
      <c r="T40" s="8" t="s">
        <v>37</v>
      </c>
      <c r="U40" s="4" t="s">
        <v>38</v>
      </c>
      <c r="V40" s="9" t="s">
        <v>39</v>
      </c>
    </row>
    <row r="41" customFormat="false" ht="15" hidden="false" customHeight="false" outlineLevel="0" collapsed="false">
      <c r="A41" s="4" t="s">
        <v>140</v>
      </c>
      <c r="B41" s="4" t="s">
        <v>74</v>
      </c>
      <c r="C41" s="4" t="s">
        <v>111</v>
      </c>
      <c r="D41" s="4" t="s">
        <v>139</v>
      </c>
      <c r="E41" s="4" t="s">
        <v>49</v>
      </c>
      <c r="F41" s="4" t="s">
        <v>29</v>
      </c>
      <c r="G41" s="4" t="s">
        <v>30</v>
      </c>
      <c r="H41" s="5" t="n">
        <v>10</v>
      </c>
      <c r="I41" s="6" t="n">
        <v>420</v>
      </c>
      <c r="J41" s="6"/>
      <c r="K41" s="7" t="n">
        <v>1500</v>
      </c>
      <c r="L41" s="7" t="n">
        <v>1500</v>
      </c>
      <c r="M41" s="4" t="s">
        <v>57</v>
      </c>
      <c r="N41" s="5" t="n">
        <v>155</v>
      </c>
      <c r="O41" s="4" t="s">
        <v>107</v>
      </c>
      <c r="P41" s="4" t="s">
        <v>33</v>
      </c>
      <c r="Q41" s="4" t="s">
        <v>108</v>
      </c>
      <c r="R41" s="4" t="s">
        <v>114</v>
      </c>
      <c r="S41" s="4" t="s">
        <v>36</v>
      </c>
      <c r="T41" s="8" t="s">
        <v>37</v>
      </c>
      <c r="U41" s="4" t="s">
        <v>38</v>
      </c>
      <c r="V41" s="9" t="s">
        <v>39</v>
      </c>
    </row>
    <row r="42" customFormat="false" ht="15" hidden="false" customHeight="false" outlineLevel="0" collapsed="false">
      <c r="A42" s="4" t="s">
        <v>141</v>
      </c>
      <c r="B42" s="4" t="s">
        <v>25</v>
      </c>
      <c r="C42" s="4" t="s">
        <v>142</v>
      </c>
      <c r="D42" s="4" t="s">
        <v>143</v>
      </c>
      <c r="E42" s="4" t="s">
        <v>49</v>
      </c>
      <c r="F42" s="4" t="s">
        <v>29</v>
      </c>
      <c r="G42" s="4" t="s">
        <v>30</v>
      </c>
      <c r="H42" s="5" t="n">
        <v>10</v>
      </c>
      <c r="I42" s="6" t="n">
        <v>450</v>
      </c>
      <c r="J42" s="6" t="n">
        <v>250</v>
      </c>
      <c r="K42" s="7" t="n">
        <v>20000</v>
      </c>
      <c r="L42" s="7" t="n">
        <v>1000</v>
      </c>
      <c r="M42" s="4" t="s">
        <v>144</v>
      </c>
      <c r="N42" s="5" t="n">
        <v>91</v>
      </c>
      <c r="O42" s="4" t="s">
        <v>145</v>
      </c>
      <c r="P42" s="4" t="s">
        <v>33</v>
      </c>
      <c r="Q42" s="4" t="s">
        <v>52</v>
      </c>
      <c r="R42" s="4" t="s">
        <v>53</v>
      </c>
      <c r="S42" s="4" t="s">
        <v>36</v>
      </c>
      <c r="T42" s="8" t="s">
        <v>37</v>
      </c>
      <c r="U42" s="4" t="s">
        <v>38</v>
      </c>
      <c r="V42" s="9" t="s">
        <v>39</v>
      </c>
    </row>
    <row r="43" customFormat="false" ht="15" hidden="false" customHeight="false" outlineLevel="0" collapsed="false">
      <c r="A43" s="4" t="s">
        <v>146</v>
      </c>
      <c r="B43" s="4" t="s">
        <v>25</v>
      </c>
      <c r="C43" s="4" t="s">
        <v>47</v>
      </c>
      <c r="D43" s="4" t="s">
        <v>147</v>
      </c>
      <c r="E43" s="4" t="s">
        <v>49</v>
      </c>
      <c r="F43" s="4" t="s">
        <v>29</v>
      </c>
      <c r="G43" s="4" t="s">
        <v>30</v>
      </c>
      <c r="H43" s="5" t="n">
        <v>10</v>
      </c>
      <c r="I43" s="6" t="n">
        <v>500</v>
      </c>
      <c r="J43" s="6"/>
      <c r="K43" s="7" t="n">
        <v>5000</v>
      </c>
      <c r="L43" s="7" t="n">
        <v>5000</v>
      </c>
      <c r="M43" s="4" t="s">
        <v>50</v>
      </c>
      <c r="N43" s="5" t="n">
        <v>50.6</v>
      </c>
      <c r="O43" s="4" t="s">
        <v>51</v>
      </c>
      <c r="P43" s="4" t="s">
        <v>33</v>
      </c>
      <c r="Q43" s="4" t="s">
        <v>52</v>
      </c>
      <c r="R43" s="4" t="s">
        <v>53</v>
      </c>
      <c r="S43" s="4" t="s">
        <v>36</v>
      </c>
      <c r="T43" s="8" t="s">
        <v>37</v>
      </c>
      <c r="U43" s="4" t="s">
        <v>38</v>
      </c>
      <c r="V43" s="9" t="s">
        <v>39</v>
      </c>
    </row>
    <row r="44" customFormat="false" ht="15" hidden="false" customHeight="false" outlineLevel="0" collapsed="false">
      <c r="A44" s="4" t="s">
        <v>148</v>
      </c>
      <c r="B44" s="4" t="s">
        <v>68</v>
      </c>
      <c r="C44" s="4" t="s">
        <v>149</v>
      </c>
      <c r="D44" s="4" t="s">
        <v>150</v>
      </c>
      <c r="E44" s="4" t="s">
        <v>49</v>
      </c>
      <c r="F44" s="4" t="s">
        <v>29</v>
      </c>
      <c r="G44" s="4" t="s">
        <v>30</v>
      </c>
      <c r="H44" s="5" t="n">
        <v>10</v>
      </c>
      <c r="I44" s="6" t="n">
        <v>500</v>
      </c>
      <c r="J44" s="6" t="n">
        <v>500</v>
      </c>
      <c r="K44" s="7" t="n">
        <v>30000</v>
      </c>
      <c r="L44" s="7" t="n">
        <v>20000</v>
      </c>
      <c r="M44" s="4" t="s">
        <v>151</v>
      </c>
      <c r="N44" s="5" t="n">
        <v>100</v>
      </c>
      <c r="O44" s="4" t="s">
        <v>58</v>
      </c>
      <c r="P44" s="4" t="s">
        <v>152</v>
      </c>
      <c r="Q44" s="4" t="s">
        <v>52</v>
      </c>
      <c r="R44" s="4" t="s">
        <v>153</v>
      </c>
      <c r="S44" s="4" t="s">
        <v>36</v>
      </c>
      <c r="T44" s="8" t="s">
        <v>37</v>
      </c>
      <c r="U44" s="4" t="s">
        <v>38</v>
      </c>
      <c r="V44" s="9" t="s">
        <v>39</v>
      </c>
    </row>
    <row r="45" customFormat="false" ht="15" hidden="false" customHeight="false" outlineLevel="0" collapsed="false">
      <c r="A45" s="4" t="s">
        <v>154</v>
      </c>
      <c r="B45" s="4" t="s">
        <v>155</v>
      </c>
      <c r="C45" s="4" t="s">
        <v>156</v>
      </c>
      <c r="D45" s="4" t="s">
        <v>157</v>
      </c>
      <c r="E45" s="4" t="s">
        <v>49</v>
      </c>
      <c r="F45" s="4" t="s">
        <v>29</v>
      </c>
      <c r="G45" s="4" t="s">
        <v>30</v>
      </c>
      <c r="H45" s="5" t="n">
        <v>10</v>
      </c>
      <c r="I45" s="6" t="n">
        <v>500</v>
      </c>
      <c r="J45" s="6" t="n">
        <v>500</v>
      </c>
      <c r="K45" s="7" t="n">
        <v>200</v>
      </c>
      <c r="L45" s="7" t="n">
        <v>200</v>
      </c>
      <c r="M45" s="4" t="s">
        <v>113</v>
      </c>
      <c r="N45" s="5" t="n">
        <v>98.28</v>
      </c>
      <c r="O45" s="4" t="s">
        <v>58</v>
      </c>
      <c r="P45" s="4" t="s">
        <v>33</v>
      </c>
      <c r="Q45" s="4" t="s">
        <v>158</v>
      </c>
      <c r="R45" s="4" t="s">
        <v>159</v>
      </c>
      <c r="S45" s="4" t="s">
        <v>36</v>
      </c>
      <c r="T45" s="8" t="s">
        <v>37</v>
      </c>
      <c r="U45" s="4" t="s">
        <v>38</v>
      </c>
      <c r="V45" s="9" t="s">
        <v>39</v>
      </c>
    </row>
    <row r="46" customFormat="false" ht="15" hidden="false" customHeight="false" outlineLevel="0" collapsed="false">
      <c r="A46" s="4" t="s">
        <v>160</v>
      </c>
      <c r="B46" s="4" t="s">
        <v>161</v>
      </c>
      <c r="C46" s="4" t="s">
        <v>162</v>
      </c>
      <c r="D46" s="4" t="s">
        <v>163</v>
      </c>
      <c r="E46" s="4" t="s">
        <v>49</v>
      </c>
      <c r="F46" s="4" t="s">
        <v>29</v>
      </c>
      <c r="G46" s="4" t="s">
        <v>30</v>
      </c>
      <c r="H46" s="5" t="n">
        <v>10</v>
      </c>
      <c r="I46" s="6" t="n">
        <v>500</v>
      </c>
      <c r="J46" s="6" t="n">
        <v>500</v>
      </c>
      <c r="K46" s="7" t="n">
        <v>30000</v>
      </c>
      <c r="L46" s="7" t="n">
        <v>20000</v>
      </c>
      <c r="M46" s="4" t="s">
        <v>151</v>
      </c>
      <c r="N46" s="5" t="n">
        <v>50</v>
      </c>
      <c r="O46" s="4" t="s">
        <v>164</v>
      </c>
      <c r="P46" s="4" t="s">
        <v>165</v>
      </c>
      <c r="Q46" s="4" t="s">
        <v>52</v>
      </c>
      <c r="R46" s="4" t="s">
        <v>153</v>
      </c>
      <c r="S46" s="4" t="s">
        <v>36</v>
      </c>
      <c r="T46" s="8" t="s">
        <v>37</v>
      </c>
      <c r="U46" s="4" t="s">
        <v>38</v>
      </c>
      <c r="V46" s="9" t="s">
        <v>39</v>
      </c>
    </row>
    <row r="47" customFormat="false" ht="15" hidden="false" customHeight="false" outlineLevel="0" collapsed="false">
      <c r="A47" s="4" t="s">
        <v>166</v>
      </c>
      <c r="B47" s="4" t="s">
        <v>68</v>
      </c>
      <c r="C47" s="4" t="s">
        <v>69</v>
      </c>
      <c r="D47" s="4" t="s">
        <v>167</v>
      </c>
      <c r="E47" s="4" t="s">
        <v>49</v>
      </c>
      <c r="F47" s="4" t="s">
        <v>29</v>
      </c>
      <c r="G47" s="4" t="s">
        <v>30</v>
      </c>
      <c r="H47" s="5" t="n">
        <v>10</v>
      </c>
      <c r="I47" s="6" t="n">
        <v>600</v>
      </c>
      <c r="J47" s="6" t="n">
        <v>600</v>
      </c>
      <c r="K47" s="7" t="n">
        <v>10000</v>
      </c>
      <c r="L47" s="7" t="n">
        <v>10000</v>
      </c>
      <c r="M47" s="4" t="s">
        <v>71</v>
      </c>
      <c r="N47" s="5" t="n">
        <v>101.4</v>
      </c>
      <c r="O47" s="4" t="s">
        <v>58</v>
      </c>
      <c r="P47" s="4" t="s">
        <v>33</v>
      </c>
      <c r="Q47" s="4" t="s">
        <v>52</v>
      </c>
      <c r="R47" s="4" t="s">
        <v>72</v>
      </c>
      <c r="S47" s="4" t="s">
        <v>36</v>
      </c>
      <c r="T47" s="8" t="s">
        <v>37</v>
      </c>
      <c r="U47" s="4" t="s">
        <v>38</v>
      </c>
      <c r="V47" s="9" t="s">
        <v>39</v>
      </c>
    </row>
    <row r="48" customFormat="false" ht="15" hidden="false" customHeight="false" outlineLevel="0" collapsed="false">
      <c r="A48" s="4" t="s">
        <v>168</v>
      </c>
      <c r="B48" s="4" t="s">
        <v>74</v>
      </c>
      <c r="C48" s="4" t="s">
        <v>75</v>
      </c>
      <c r="D48" s="4" t="s">
        <v>169</v>
      </c>
      <c r="E48" s="4" t="s">
        <v>49</v>
      </c>
      <c r="F48" s="4" t="s">
        <v>29</v>
      </c>
      <c r="G48" s="4" t="s">
        <v>30</v>
      </c>
      <c r="H48" s="5" t="n">
        <v>10</v>
      </c>
      <c r="I48" s="6" t="n">
        <v>600</v>
      </c>
      <c r="J48" s="6"/>
      <c r="K48" s="7" t="n">
        <v>10000</v>
      </c>
      <c r="L48" s="7" t="n">
        <v>10000</v>
      </c>
      <c r="M48" s="4" t="s">
        <v>71</v>
      </c>
      <c r="N48" s="5" t="n">
        <v>66</v>
      </c>
      <c r="O48" s="4" t="s">
        <v>77</v>
      </c>
      <c r="P48" s="4" t="s">
        <v>33</v>
      </c>
      <c r="Q48" s="4" t="s">
        <v>52</v>
      </c>
      <c r="R48" s="4" t="s">
        <v>53</v>
      </c>
      <c r="S48" s="4" t="s">
        <v>36</v>
      </c>
      <c r="T48" s="8" t="s">
        <v>37</v>
      </c>
      <c r="U48" s="4" t="s">
        <v>38</v>
      </c>
      <c r="V48" s="9" t="s">
        <v>39</v>
      </c>
    </row>
    <row r="49" customFormat="false" ht="15" hidden="false" customHeight="false" outlineLevel="0" collapsed="false">
      <c r="A49" s="4" t="s">
        <v>170</v>
      </c>
      <c r="B49" s="4" t="s">
        <v>74</v>
      </c>
      <c r="C49" s="4" t="s">
        <v>75</v>
      </c>
      <c r="D49" s="4" t="s">
        <v>169</v>
      </c>
      <c r="E49" s="4" t="s">
        <v>49</v>
      </c>
      <c r="F49" s="4" t="s">
        <v>29</v>
      </c>
      <c r="G49" s="4" t="s">
        <v>30</v>
      </c>
      <c r="H49" s="5" t="n">
        <v>10</v>
      </c>
      <c r="I49" s="6" t="n">
        <v>600</v>
      </c>
      <c r="J49" s="6"/>
      <c r="K49" s="7" t="n">
        <v>10000</v>
      </c>
      <c r="L49" s="7" t="n">
        <v>10000</v>
      </c>
      <c r="M49" s="4" t="s">
        <v>71</v>
      </c>
      <c r="N49" s="5" t="n">
        <v>66</v>
      </c>
      <c r="O49" s="4" t="s">
        <v>77</v>
      </c>
      <c r="P49" s="4" t="s">
        <v>33</v>
      </c>
      <c r="Q49" s="4" t="s">
        <v>52</v>
      </c>
      <c r="R49" s="4" t="s">
        <v>53</v>
      </c>
      <c r="S49" s="4" t="s">
        <v>36</v>
      </c>
      <c r="T49" s="8" t="s">
        <v>37</v>
      </c>
      <c r="U49" s="4" t="s">
        <v>38</v>
      </c>
      <c r="V49" s="9" t="s">
        <v>39</v>
      </c>
    </row>
    <row r="50" customFormat="false" ht="15" hidden="false" customHeight="false" outlineLevel="0" collapsed="false">
      <c r="A50" s="4" t="s">
        <v>171</v>
      </c>
      <c r="B50" s="4" t="s">
        <v>74</v>
      </c>
      <c r="C50" s="4" t="s">
        <v>75</v>
      </c>
      <c r="D50" s="4" t="s">
        <v>169</v>
      </c>
      <c r="E50" s="4" t="s">
        <v>49</v>
      </c>
      <c r="F50" s="4" t="s">
        <v>29</v>
      </c>
      <c r="G50" s="4" t="s">
        <v>30</v>
      </c>
      <c r="H50" s="5" t="n">
        <v>10</v>
      </c>
      <c r="I50" s="6" t="n">
        <v>600</v>
      </c>
      <c r="J50" s="6"/>
      <c r="K50" s="7" t="n">
        <v>10000</v>
      </c>
      <c r="L50" s="7" t="n">
        <v>10000</v>
      </c>
      <c r="M50" s="4" t="s">
        <v>71</v>
      </c>
      <c r="N50" s="5" t="n">
        <v>66</v>
      </c>
      <c r="O50" s="4" t="s">
        <v>77</v>
      </c>
      <c r="P50" s="4" t="s">
        <v>33</v>
      </c>
      <c r="Q50" s="4" t="s">
        <v>52</v>
      </c>
      <c r="R50" s="4" t="s">
        <v>53</v>
      </c>
      <c r="S50" s="4" t="s">
        <v>36</v>
      </c>
      <c r="T50" s="8" t="s">
        <v>37</v>
      </c>
      <c r="U50" s="4" t="s">
        <v>38</v>
      </c>
      <c r="V50" s="9" t="s">
        <v>39</v>
      </c>
    </row>
    <row r="51" customFormat="false" ht="15" hidden="false" customHeight="false" outlineLevel="0" collapsed="false">
      <c r="A51" s="4" t="s">
        <v>172</v>
      </c>
      <c r="B51" s="4" t="s">
        <v>74</v>
      </c>
      <c r="C51" s="4" t="s">
        <v>75</v>
      </c>
      <c r="D51" s="4" t="s">
        <v>169</v>
      </c>
      <c r="E51" s="4" t="s">
        <v>49</v>
      </c>
      <c r="F51" s="4" t="s">
        <v>29</v>
      </c>
      <c r="G51" s="4" t="s">
        <v>30</v>
      </c>
      <c r="H51" s="5" t="n">
        <v>10</v>
      </c>
      <c r="I51" s="6" t="n">
        <v>600</v>
      </c>
      <c r="J51" s="6"/>
      <c r="K51" s="7" t="n">
        <v>10000</v>
      </c>
      <c r="L51" s="7" t="n">
        <v>10000</v>
      </c>
      <c r="M51" s="4" t="s">
        <v>71</v>
      </c>
      <c r="N51" s="5" t="n">
        <v>66</v>
      </c>
      <c r="O51" s="4" t="s">
        <v>77</v>
      </c>
      <c r="P51" s="4" t="s">
        <v>33</v>
      </c>
      <c r="Q51" s="4" t="s">
        <v>52</v>
      </c>
      <c r="R51" s="4" t="s">
        <v>53</v>
      </c>
      <c r="S51" s="4" t="s">
        <v>36</v>
      </c>
      <c r="T51" s="8" t="s">
        <v>37</v>
      </c>
      <c r="U51" s="4" t="s">
        <v>38</v>
      </c>
      <c r="V51" s="9" t="s">
        <v>39</v>
      </c>
    </row>
    <row r="52" customFormat="false" ht="15" hidden="false" customHeight="false" outlineLevel="0" collapsed="false">
      <c r="A52" s="4" t="s">
        <v>173</v>
      </c>
      <c r="B52" s="4" t="s">
        <v>25</v>
      </c>
      <c r="C52" s="4" t="s">
        <v>142</v>
      </c>
      <c r="D52" s="4" t="s">
        <v>174</v>
      </c>
      <c r="E52" s="4" t="s">
        <v>49</v>
      </c>
      <c r="F52" s="4" t="s">
        <v>29</v>
      </c>
      <c r="G52" s="4" t="s">
        <v>30</v>
      </c>
      <c r="H52" s="5" t="n">
        <v>12</v>
      </c>
      <c r="I52" s="6" t="n">
        <v>450</v>
      </c>
      <c r="J52" s="6" t="n">
        <v>250</v>
      </c>
      <c r="K52" s="7" t="n">
        <v>20000</v>
      </c>
      <c r="L52" s="7" t="n">
        <v>1000</v>
      </c>
      <c r="M52" s="4" t="s">
        <v>144</v>
      </c>
      <c r="N52" s="5" t="n">
        <v>192</v>
      </c>
      <c r="O52" s="4" t="s">
        <v>145</v>
      </c>
      <c r="P52" s="4" t="s">
        <v>33</v>
      </c>
      <c r="Q52" s="4" t="s">
        <v>52</v>
      </c>
      <c r="R52" s="4" t="s">
        <v>53</v>
      </c>
      <c r="S52" s="4" t="s">
        <v>36</v>
      </c>
      <c r="T52" s="8" t="s">
        <v>37</v>
      </c>
      <c r="U52" s="4" t="s">
        <v>38</v>
      </c>
      <c r="V52" s="9" t="s">
        <v>39</v>
      </c>
    </row>
    <row r="53" customFormat="false" ht="15" hidden="false" customHeight="false" outlineLevel="0" collapsed="false">
      <c r="A53" s="4" t="s">
        <v>175</v>
      </c>
      <c r="B53" s="4" t="s">
        <v>68</v>
      </c>
      <c r="C53" s="4" t="s">
        <v>149</v>
      </c>
      <c r="D53" s="4" t="s">
        <v>176</v>
      </c>
      <c r="E53" s="4" t="s">
        <v>49</v>
      </c>
      <c r="F53" s="4" t="s">
        <v>29</v>
      </c>
      <c r="G53" s="4" t="s">
        <v>30</v>
      </c>
      <c r="H53" s="5" t="n">
        <v>12</v>
      </c>
      <c r="I53" s="6" t="n">
        <v>500</v>
      </c>
      <c r="J53" s="6" t="n">
        <v>500</v>
      </c>
      <c r="K53" s="7" t="n">
        <v>30000</v>
      </c>
      <c r="L53" s="7" t="n">
        <v>20000</v>
      </c>
      <c r="M53" s="4" t="s">
        <v>151</v>
      </c>
      <c r="N53" s="5" t="n">
        <v>140</v>
      </c>
      <c r="O53" s="4" t="s">
        <v>58</v>
      </c>
      <c r="P53" s="4" t="s">
        <v>152</v>
      </c>
      <c r="Q53" s="4" t="s">
        <v>52</v>
      </c>
      <c r="R53" s="4" t="s">
        <v>153</v>
      </c>
      <c r="S53" s="4" t="s">
        <v>36</v>
      </c>
      <c r="T53" s="8" t="s">
        <v>37</v>
      </c>
      <c r="U53" s="4" t="s">
        <v>38</v>
      </c>
      <c r="V53" s="9" t="s">
        <v>39</v>
      </c>
    </row>
    <row r="54" customFormat="false" ht="15" hidden="false" customHeight="false" outlineLevel="0" collapsed="false">
      <c r="A54" s="4" t="s">
        <v>177</v>
      </c>
      <c r="B54" s="4" t="s">
        <v>74</v>
      </c>
      <c r="C54" s="4" t="s">
        <v>178</v>
      </c>
      <c r="D54" s="4" t="s">
        <v>176</v>
      </c>
      <c r="E54" s="4" t="s">
        <v>49</v>
      </c>
      <c r="F54" s="4" t="s">
        <v>29</v>
      </c>
      <c r="G54" s="4" t="s">
        <v>30</v>
      </c>
      <c r="H54" s="5" t="n">
        <v>12</v>
      </c>
      <c r="I54" s="6" t="n">
        <v>500</v>
      </c>
      <c r="J54" s="6" t="n">
        <v>500</v>
      </c>
      <c r="K54" s="7" t="n">
        <v>30000</v>
      </c>
      <c r="L54" s="7" t="n">
        <v>20000</v>
      </c>
      <c r="M54" s="4" t="s">
        <v>151</v>
      </c>
      <c r="N54" s="5" t="n">
        <v>120</v>
      </c>
      <c r="O54" s="4" t="s">
        <v>179</v>
      </c>
      <c r="P54" s="4" t="s">
        <v>180</v>
      </c>
      <c r="Q54" s="4" t="s">
        <v>52</v>
      </c>
      <c r="R54" s="4" t="s">
        <v>153</v>
      </c>
      <c r="S54" s="4" t="s">
        <v>36</v>
      </c>
      <c r="T54" s="8" t="s">
        <v>37</v>
      </c>
      <c r="U54" s="4" t="s">
        <v>38</v>
      </c>
      <c r="V54" s="9" t="s">
        <v>39</v>
      </c>
    </row>
    <row r="55" customFormat="false" ht="15" hidden="false" customHeight="false" outlineLevel="0" collapsed="false">
      <c r="A55" s="4" t="s">
        <v>181</v>
      </c>
      <c r="B55" s="4" t="s">
        <v>161</v>
      </c>
      <c r="C55" s="4" t="s">
        <v>162</v>
      </c>
      <c r="D55" s="4" t="s">
        <v>163</v>
      </c>
      <c r="E55" s="4" t="s">
        <v>49</v>
      </c>
      <c r="F55" s="4" t="s">
        <v>29</v>
      </c>
      <c r="G55" s="4" t="s">
        <v>30</v>
      </c>
      <c r="H55" s="5" t="n">
        <v>12</v>
      </c>
      <c r="I55" s="6" t="n">
        <v>500</v>
      </c>
      <c r="J55" s="6" t="n">
        <v>500</v>
      </c>
      <c r="K55" s="7" t="n">
        <v>30000</v>
      </c>
      <c r="L55" s="7" t="n">
        <v>20000</v>
      </c>
      <c r="M55" s="4" t="s">
        <v>151</v>
      </c>
      <c r="N55" s="5" t="n">
        <v>43</v>
      </c>
      <c r="O55" s="4" t="s">
        <v>164</v>
      </c>
      <c r="P55" s="4" t="s">
        <v>165</v>
      </c>
      <c r="Q55" s="4" t="s">
        <v>52</v>
      </c>
      <c r="R55" s="4" t="s">
        <v>153</v>
      </c>
      <c r="S55" s="4" t="s">
        <v>36</v>
      </c>
      <c r="T55" s="8" t="s">
        <v>37</v>
      </c>
      <c r="U55" s="4" t="s">
        <v>38</v>
      </c>
      <c r="V55" s="9" t="s">
        <v>39</v>
      </c>
    </row>
    <row r="56" customFormat="false" ht="15" hidden="false" customHeight="false" outlineLevel="0" collapsed="false">
      <c r="A56" s="4" t="s">
        <v>182</v>
      </c>
      <c r="B56" s="4" t="s">
        <v>68</v>
      </c>
      <c r="C56" s="4" t="s">
        <v>69</v>
      </c>
      <c r="D56" s="4" t="s">
        <v>183</v>
      </c>
      <c r="E56" s="4" t="s">
        <v>49</v>
      </c>
      <c r="F56" s="4" t="s">
        <v>29</v>
      </c>
      <c r="G56" s="4" t="s">
        <v>30</v>
      </c>
      <c r="H56" s="5" t="n">
        <v>12</v>
      </c>
      <c r="I56" s="6" t="n">
        <v>600</v>
      </c>
      <c r="J56" s="6" t="n">
        <v>600</v>
      </c>
      <c r="K56" s="7" t="n">
        <v>10000</v>
      </c>
      <c r="L56" s="7" t="n">
        <v>10000</v>
      </c>
      <c r="M56" s="4" t="s">
        <v>71</v>
      </c>
      <c r="N56" s="5" t="n">
        <v>187.2</v>
      </c>
      <c r="O56" s="4" t="s">
        <v>58</v>
      </c>
      <c r="P56" s="4" t="s">
        <v>33</v>
      </c>
      <c r="Q56" s="4" t="s">
        <v>52</v>
      </c>
      <c r="R56" s="4" t="s">
        <v>72</v>
      </c>
      <c r="S56" s="4" t="s">
        <v>36</v>
      </c>
      <c r="T56" s="8" t="s">
        <v>37</v>
      </c>
      <c r="U56" s="4" t="s">
        <v>38</v>
      </c>
      <c r="V56" s="9" t="s">
        <v>39</v>
      </c>
    </row>
    <row r="57" customFormat="false" ht="15" hidden="false" customHeight="false" outlineLevel="0" collapsed="false">
      <c r="A57" s="4" t="s">
        <v>184</v>
      </c>
      <c r="B57" s="4" t="s">
        <v>25</v>
      </c>
      <c r="C57" s="4" t="s">
        <v>104</v>
      </c>
      <c r="D57" s="4" t="s">
        <v>185</v>
      </c>
      <c r="E57" s="4" t="s">
        <v>49</v>
      </c>
      <c r="F57" s="4" t="s">
        <v>29</v>
      </c>
      <c r="G57" s="4" t="s">
        <v>30</v>
      </c>
      <c r="H57" s="5" t="n">
        <v>12.5</v>
      </c>
      <c r="I57" s="6" t="n">
        <v>420</v>
      </c>
      <c r="J57" s="6" t="n">
        <v>420</v>
      </c>
      <c r="K57" s="7" t="n">
        <v>200</v>
      </c>
      <c r="L57" s="7" t="n">
        <v>300</v>
      </c>
      <c r="M57" s="4" t="s">
        <v>106</v>
      </c>
      <c r="N57" s="5" t="n">
        <v>170</v>
      </c>
      <c r="O57" s="4" t="s">
        <v>107</v>
      </c>
      <c r="P57" s="4" t="s">
        <v>33</v>
      </c>
      <c r="Q57" s="4" t="s">
        <v>108</v>
      </c>
      <c r="R57" s="4" t="s">
        <v>109</v>
      </c>
      <c r="S57" s="4" t="s">
        <v>36</v>
      </c>
      <c r="T57" s="8" t="s">
        <v>37</v>
      </c>
      <c r="U57" s="4" t="s">
        <v>38</v>
      </c>
      <c r="V57" s="9" t="s">
        <v>39</v>
      </c>
    </row>
    <row r="58" customFormat="false" ht="15" hidden="false" customHeight="false" outlineLevel="0" collapsed="false">
      <c r="A58" s="4" t="s">
        <v>186</v>
      </c>
      <c r="B58" s="4" t="s">
        <v>74</v>
      </c>
      <c r="C58" s="4" t="s">
        <v>111</v>
      </c>
      <c r="D58" s="4" t="s">
        <v>187</v>
      </c>
      <c r="E58" s="4" t="s">
        <v>49</v>
      </c>
      <c r="F58" s="4" t="s">
        <v>29</v>
      </c>
      <c r="G58" s="4" t="s">
        <v>30</v>
      </c>
      <c r="H58" s="5" t="n">
        <v>12.5</v>
      </c>
      <c r="I58" s="6" t="n">
        <v>420</v>
      </c>
      <c r="J58" s="6"/>
      <c r="K58" s="7" t="n">
        <v>300</v>
      </c>
      <c r="L58" s="7" t="n">
        <v>300</v>
      </c>
      <c r="M58" s="4" t="s">
        <v>188</v>
      </c>
      <c r="N58" s="5" t="n">
        <v>160</v>
      </c>
      <c r="O58" s="4" t="s">
        <v>107</v>
      </c>
      <c r="P58" s="4" t="s">
        <v>33</v>
      </c>
      <c r="Q58" s="4" t="s">
        <v>108</v>
      </c>
      <c r="R58" s="4" t="s">
        <v>114</v>
      </c>
      <c r="S58" s="4" t="s">
        <v>36</v>
      </c>
      <c r="T58" s="8" t="s">
        <v>37</v>
      </c>
      <c r="U58" s="4" t="s">
        <v>38</v>
      </c>
      <c r="V58" s="9" t="s">
        <v>39</v>
      </c>
    </row>
    <row r="59" customFormat="false" ht="15" hidden="false" customHeight="false" outlineLevel="0" collapsed="false">
      <c r="A59" s="4" t="s">
        <v>189</v>
      </c>
      <c r="B59" s="4" t="s">
        <v>74</v>
      </c>
      <c r="C59" s="4" t="s">
        <v>111</v>
      </c>
      <c r="D59" s="4" t="s">
        <v>187</v>
      </c>
      <c r="E59" s="4" t="s">
        <v>49</v>
      </c>
      <c r="F59" s="4" t="s">
        <v>29</v>
      </c>
      <c r="G59" s="4" t="s">
        <v>30</v>
      </c>
      <c r="H59" s="5" t="n">
        <v>12.5</v>
      </c>
      <c r="I59" s="6" t="n">
        <v>420</v>
      </c>
      <c r="J59" s="6"/>
      <c r="K59" s="7" t="n">
        <v>300</v>
      </c>
      <c r="L59" s="7" t="n">
        <v>300</v>
      </c>
      <c r="M59" s="4" t="s">
        <v>188</v>
      </c>
      <c r="N59" s="5" t="n">
        <v>160</v>
      </c>
      <c r="O59" s="4" t="s">
        <v>107</v>
      </c>
      <c r="P59" s="4" t="s">
        <v>33</v>
      </c>
      <c r="Q59" s="4" t="s">
        <v>108</v>
      </c>
      <c r="R59" s="4" t="s">
        <v>114</v>
      </c>
      <c r="S59" s="4" t="s">
        <v>36</v>
      </c>
      <c r="T59" s="8" t="s">
        <v>37</v>
      </c>
      <c r="U59" s="4" t="s">
        <v>38</v>
      </c>
      <c r="V59" s="9" t="s">
        <v>39</v>
      </c>
    </row>
    <row r="60" customFormat="false" ht="15" hidden="false" customHeight="false" outlineLevel="0" collapsed="false">
      <c r="A60" s="4" t="s">
        <v>190</v>
      </c>
      <c r="B60" s="4" t="s">
        <v>74</v>
      </c>
      <c r="C60" s="4" t="s">
        <v>111</v>
      </c>
      <c r="D60" s="4" t="s">
        <v>187</v>
      </c>
      <c r="E60" s="4" t="s">
        <v>49</v>
      </c>
      <c r="F60" s="4" t="s">
        <v>29</v>
      </c>
      <c r="G60" s="4" t="s">
        <v>30</v>
      </c>
      <c r="H60" s="5" t="n">
        <v>12.5</v>
      </c>
      <c r="I60" s="6" t="n">
        <v>420</v>
      </c>
      <c r="J60" s="6"/>
      <c r="K60" s="7" t="n">
        <v>1500</v>
      </c>
      <c r="L60" s="7" t="n">
        <v>1500</v>
      </c>
      <c r="M60" s="4" t="s">
        <v>57</v>
      </c>
      <c r="N60" s="5" t="n">
        <v>160</v>
      </c>
      <c r="O60" s="4" t="s">
        <v>107</v>
      </c>
      <c r="P60" s="4" t="s">
        <v>33</v>
      </c>
      <c r="Q60" s="4" t="s">
        <v>108</v>
      </c>
      <c r="R60" s="4" t="s">
        <v>114</v>
      </c>
      <c r="S60" s="4" t="s">
        <v>36</v>
      </c>
      <c r="T60" s="8" t="s">
        <v>37</v>
      </c>
      <c r="U60" s="4" t="s">
        <v>38</v>
      </c>
      <c r="V60" s="9" t="s">
        <v>39</v>
      </c>
    </row>
    <row r="61" customFormat="false" ht="15" hidden="false" customHeight="false" outlineLevel="0" collapsed="false">
      <c r="A61" s="4" t="s">
        <v>191</v>
      </c>
      <c r="B61" s="4" t="s">
        <v>25</v>
      </c>
      <c r="C61" s="4" t="s">
        <v>47</v>
      </c>
      <c r="D61" s="4" t="s">
        <v>192</v>
      </c>
      <c r="E61" s="4" t="s">
        <v>49</v>
      </c>
      <c r="F61" s="4" t="s">
        <v>29</v>
      </c>
      <c r="G61" s="4" t="s">
        <v>30</v>
      </c>
      <c r="H61" s="5" t="n">
        <v>12.5</v>
      </c>
      <c r="I61" s="6" t="n">
        <v>500</v>
      </c>
      <c r="J61" s="6"/>
      <c r="K61" s="7" t="n">
        <v>5000</v>
      </c>
      <c r="L61" s="7" t="n">
        <v>5000</v>
      </c>
      <c r="M61" s="4" t="s">
        <v>50</v>
      </c>
      <c r="N61" s="5" t="n">
        <v>114</v>
      </c>
      <c r="O61" s="4" t="s">
        <v>51</v>
      </c>
      <c r="P61" s="4" t="s">
        <v>33</v>
      </c>
      <c r="Q61" s="4" t="s">
        <v>52</v>
      </c>
      <c r="R61" s="4" t="s">
        <v>53</v>
      </c>
      <c r="S61" s="4" t="s">
        <v>36</v>
      </c>
      <c r="T61" s="8" t="s">
        <v>37</v>
      </c>
      <c r="U61" s="4" t="s">
        <v>38</v>
      </c>
      <c r="V61" s="9" t="s">
        <v>39</v>
      </c>
    </row>
    <row r="62" customFormat="false" ht="15" hidden="false" customHeight="false" outlineLevel="0" collapsed="false">
      <c r="A62" s="4" t="s">
        <v>193</v>
      </c>
      <c r="B62" s="4" t="s">
        <v>25</v>
      </c>
      <c r="C62" s="4" t="s">
        <v>104</v>
      </c>
      <c r="D62" s="4" t="s">
        <v>194</v>
      </c>
      <c r="E62" s="4" t="s">
        <v>49</v>
      </c>
      <c r="F62" s="4" t="s">
        <v>29</v>
      </c>
      <c r="G62" s="4" t="s">
        <v>30</v>
      </c>
      <c r="H62" s="5" t="n">
        <v>15</v>
      </c>
      <c r="I62" s="6" t="n">
        <v>420</v>
      </c>
      <c r="J62" s="6" t="n">
        <v>420</v>
      </c>
      <c r="K62" s="7" t="n">
        <v>300</v>
      </c>
      <c r="L62" s="7" t="n">
        <v>200</v>
      </c>
      <c r="M62" s="4" t="s">
        <v>195</v>
      </c>
      <c r="N62" s="5" t="n">
        <v>190</v>
      </c>
      <c r="O62" s="4" t="s">
        <v>107</v>
      </c>
      <c r="P62" s="4" t="s">
        <v>33</v>
      </c>
      <c r="Q62" s="4" t="s">
        <v>108</v>
      </c>
      <c r="R62" s="4" t="s">
        <v>109</v>
      </c>
      <c r="S62" s="4" t="s">
        <v>36</v>
      </c>
      <c r="T62" s="8" t="s">
        <v>37</v>
      </c>
      <c r="U62" s="4" t="s">
        <v>38</v>
      </c>
      <c r="V62" s="9" t="s">
        <v>39</v>
      </c>
    </row>
    <row r="63" customFormat="false" ht="15" hidden="false" customHeight="false" outlineLevel="0" collapsed="false">
      <c r="A63" s="4" t="s">
        <v>196</v>
      </c>
      <c r="B63" s="4" t="s">
        <v>74</v>
      </c>
      <c r="C63" s="4" t="s">
        <v>111</v>
      </c>
      <c r="D63" s="4" t="s">
        <v>197</v>
      </c>
      <c r="E63" s="4" t="s">
        <v>49</v>
      </c>
      <c r="F63" s="4" t="s">
        <v>29</v>
      </c>
      <c r="G63" s="4" t="s">
        <v>30</v>
      </c>
      <c r="H63" s="5" t="n">
        <v>15</v>
      </c>
      <c r="I63" s="6" t="n">
        <v>420</v>
      </c>
      <c r="J63" s="6"/>
      <c r="K63" s="7" t="n">
        <v>300</v>
      </c>
      <c r="L63" s="7" t="n">
        <v>300</v>
      </c>
      <c r="M63" s="4" t="s">
        <v>188</v>
      </c>
      <c r="N63" s="5" t="n">
        <v>220</v>
      </c>
      <c r="O63" s="4" t="s">
        <v>107</v>
      </c>
      <c r="P63" s="4" t="s">
        <v>33</v>
      </c>
      <c r="Q63" s="4" t="s">
        <v>108</v>
      </c>
      <c r="R63" s="4" t="s">
        <v>114</v>
      </c>
      <c r="S63" s="4" t="s">
        <v>36</v>
      </c>
      <c r="T63" s="8" t="s">
        <v>37</v>
      </c>
      <c r="U63" s="4" t="s">
        <v>38</v>
      </c>
      <c r="V63" s="9" t="s">
        <v>39</v>
      </c>
    </row>
    <row r="64" customFormat="false" ht="15" hidden="false" customHeight="false" outlineLevel="0" collapsed="false">
      <c r="A64" s="4" t="s">
        <v>198</v>
      </c>
      <c r="B64" s="4" t="s">
        <v>74</v>
      </c>
      <c r="C64" s="4" t="s">
        <v>111</v>
      </c>
      <c r="D64" s="4" t="s">
        <v>197</v>
      </c>
      <c r="E64" s="4" t="s">
        <v>49</v>
      </c>
      <c r="F64" s="4" t="s">
        <v>29</v>
      </c>
      <c r="G64" s="4" t="s">
        <v>30</v>
      </c>
      <c r="H64" s="5" t="n">
        <v>15</v>
      </c>
      <c r="I64" s="6" t="n">
        <v>420</v>
      </c>
      <c r="J64" s="6"/>
      <c r="K64" s="7" t="n">
        <v>1500</v>
      </c>
      <c r="L64" s="7" t="n">
        <v>1500</v>
      </c>
      <c r="M64" s="4" t="s">
        <v>57</v>
      </c>
      <c r="N64" s="5" t="n">
        <v>220</v>
      </c>
      <c r="O64" s="4" t="s">
        <v>107</v>
      </c>
      <c r="P64" s="4" t="s">
        <v>33</v>
      </c>
      <c r="Q64" s="4" t="s">
        <v>108</v>
      </c>
      <c r="R64" s="4" t="s">
        <v>114</v>
      </c>
      <c r="S64" s="4" t="s">
        <v>36</v>
      </c>
      <c r="T64" s="8" t="s">
        <v>37</v>
      </c>
      <c r="U64" s="4" t="s">
        <v>38</v>
      </c>
      <c r="V64" s="9" t="s">
        <v>39</v>
      </c>
    </row>
    <row r="65" customFormat="false" ht="15" hidden="false" customHeight="false" outlineLevel="0" collapsed="false">
      <c r="A65" s="4" t="s">
        <v>199</v>
      </c>
      <c r="B65" s="4" t="s">
        <v>25</v>
      </c>
      <c r="C65" s="4" t="s">
        <v>142</v>
      </c>
      <c r="D65" s="4" t="s">
        <v>200</v>
      </c>
      <c r="E65" s="4" t="s">
        <v>49</v>
      </c>
      <c r="F65" s="4" t="s">
        <v>29</v>
      </c>
      <c r="G65" s="4" t="s">
        <v>30</v>
      </c>
      <c r="H65" s="5" t="n">
        <v>15</v>
      </c>
      <c r="I65" s="6" t="n">
        <v>500</v>
      </c>
      <c r="J65" s="6" t="n">
        <v>500</v>
      </c>
      <c r="K65" s="7"/>
      <c r="L65" s="7"/>
      <c r="M65" s="4" t="s">
        <v>36</v>
      </c>
      <c r="N65" s="5"/>
      <c r="O65" s="4" t="s">
        <v>36</v>
      </c>
      <c r="P65" s="4" t="s">
        <v>33</v>
      </c>
      <c r="Q65" s="4" t="s">
        <v>52</v>
      </c>
      <c r="R65" s="4" t="s">
        <v>53</v>
      </c>
      <c r="S65" s="4" t="s">
        <v>36</v>
      </c>
      <c r="T65" s="8" t="s">
        <v>37</v>
      </c>
      <c r="U65" s="4" t="s">
        <v>38</v>
      </c>
      <c r="V65" s="9" t="s">
        <v>39</v>
      </c>
    </row>
    <row r="66" customFormat="false" ht="15" hidden="false" customHeight="false" outlineLevel="0" collapsed="false">
      <c r="A66" s="4" t="s">
        <v>201</v>
      </c>
      <c r="B66" s="4" t="s">
        <v>68</v>
      </c>
      <c r="C66" s="4" t="s">
        <v>149</v>
      </c>
      <c r="D66" s="4" t="s">
        <v>200</v>
      </c>
      <c r="E66" s="4" t="s">
        <v>49</v>
      </c>
      <c r="F66" s="4" t="s">
        <v>29</v>
      </c>
      <c r="G66" s="4" t="s">
        <v>30</v>
      </c>
      <c r="H66" s="5" t="n">
        <v>15</v>
      </c>
      <c r="I66" s="6" t="n">
        <v>500</v>
      </c>
      <c r="J66" s="6" t="n">
        <v>500</v>
      </c>
      <c r="K66" s="7" t="n">
        <v>30000</v>
      </c>
      <c r="L66" s="7" t="n">
        <v>20000</v>
      </c>
      <c r="M66" s="4" t="s">
        <v>151</v>
      </c>
      <c r="N66" s="5" t="n">
        <v>66</v>
      </c>
      <c r="O66" s="4" t="s">
        <v>58</v>
      </c>
      <c r="P66" s="4" t="s">
        <v>152</v>
      </c>
      <c r="Q66" s="4" t="s">
        <v>52</v>
      </c>
      <c r="R66" s="4" t="s">
        <v>153</v>
      </c>
      <c r="S66" s="4" t="s">
        <v>36</v>
      </c>
      <c r="T66" s="8" t="s">
        <v>37</v>
      </c>
      <c r="U66" s="4" t="s">
        <v>38</v>
      </c>
      <c r="V66" s="9" t="s">
        <v>39</v>
      </c>
    </row>
    <row r="67" customFormat="false" ht="15" hidden="false" customHeight="false" outlineLevel="0" collapsed="false">
      <c r="A67" s="4" t="s">
        <v>202</v>
      </c>
      <c r="B67" s="4" t="s">
        <v>74</v>
      </c>
      <c r="C67" s="4" t="s">
        <v>178</v>
      </c>
      <c r="D67" s="4" t="s">
        <v>200</v>
      </c>
      <c r="E67" s="4" t="s">
        <v>49</v>
      </c>
      <c r="F67" s="4" t="s">
        <v>29</v>
      </c>
      <c r="G67" s="4" t="s">
        <v>30</v>
      </c>
      <c r="H67" s="5" t="n">
        <v>15</v>
      </c>
      <c r="I67" s="6" t="n">
        <v>500</v>
      </c>
      <c r="J67" s="6" t="n">
        <v>500</v>
      </c>
      <c r="K67" s="7" t="n">
        <v>30000</v>
      </c>
      <c r="L67" s="7" t="n">
        <v>20000</v>
      </c>
      <c r="M67" s="4" t="s">
        <v>151</v>
      </c>
      <c r="N67" s="5" t="n">
        <v>50</v>
      </c>
      <c r="O67" s="4" t="s">
        <v>179</v>
      </c>
      <c r="P67" s="4" t="s">
        <v>180</v>
      </c>
      <c r="Q67" s="4" t="s">
        <v>52</v>
      </c>
      <c r="R67" s="4" t="s">
        <v>153</v>
      </c>
      <c r="S67" s="4" t="s">
        <v>36</v>
      </c>
      <c r="T67" s="8" t="s">
        <v>37</v>
      </c>
      <c r="U67" s="4" t="s">
        <v>38</v>
      </c>
      <c r="V67" s="9" t="s">
        <v>39</v>
      </c>
    </row>
    <row r="68" customFormat="false" ht="15" hidden="false" customHeight="false" outlineLevel="0" collapsed="false">
      <c r="A68" s="4" t="s">
        <v>203</v>
      </c>
      <c r="B68" s="4" t="s">
        <v>74</v>
      </c>
      <c r="C68" s="4" t="s">
        <v>204</v>
      </c>
      <c r="D68" s="4" t="s">
        <v>205</v>
      </c>
      <c r="E68" s="4" t="s">
        <v>49</v>
      </c>
      <c r="F68" s="4" t="s">
        <v>29</v>
      </c>
      <c r="G68" s="4" t="s">
        <v>30</v>
      </c>
      <c r="H68" s="5" t="n">
        <v>15</v>
      </c>
      <c r="I68" s="6" t="n">
        <v>500</v>
      </c>
      <c r="J68" s="6" t="n">
        <v>500</v>
      </c>
      <c r="K68" s="7" t="n">
        <v>20000</v>
      </c>
      <c r="L68" s="7" t="n">
        <v>20000</v>
      </c>
      <c r="M68" s="4" t="s">
        <v>206</v>
      </c>
      <c r="N68" s="5"/>
      <c r="O68" s="4" t="s">
        <v>58</v>
      </c>
      <c r="P68" s="4" t="s">
        <v>33</v>
      </c>
      <c r="Q68" s="4" t="s">
        <v>52</v>
      </c>
      <c r="R68" s="4" t="s">
        <v>207</v>
      </c>
      <c r="S68" s="4" t="s">
        <v>36</v>
      </c>
      <c r="T68" s="8" t="s">
        <v>37</v>
      </c>
      <c r="U68" s="4" t="s">
        <v>38</v>
      </c>
      <c r="V68" s="10" t="s">
        <v>92</v>
      </c>
    </row>
    <row r="69" customFormat="false" ht="15" hidden="false" customHeight="false" outlineLevel="0" collapsed="false">
      <c r="A69" s="4" t="s">
        <v>208</v>
      </c>
      <c r="B69" s="4" t="s">
        <v>161</v>
      </c>
      <c r="C69" s="4" t="s">
        <v>162</v>
      </c>
      <c r="D69" s="4" t="s">
        <v>163</v>
      </c>
      <c r="E69" s="4" t="s">
        <v>49</v>
      </c>
      <c r="F69" s="4" t="s">
        <v>29</v>
      </c>
      <c r="G69" s="4" t="s">
        <v>30</v>
      </c>
      <c r="H69" s="5" t="n">
        <v>15</v>
      </c>
      <c r="I69" s="6" t="n">
        <v>500</v>
      </c>
      <c r="J69" s="6" t="n">
        <v>500</v>
      </c>
      <c r="K69" s="7" t="n">
        <v>30000</v>
      </c>
      <c r="L69" s="7" t="n">
        <v>20000</v>
      </c>
      <c r="M69" s="4" t="s">
        <v>151</v>
      </c>
      <c r="N69" s="5" t="n">
        <v>80</v>
      </c>
      <c r="O69" s="4" t="s">
        <v>164</v>
      </c>
      <c r="P69" s="4" t="s">
        <v>165</v>
      </c>
      <c r="Q69" s="4" t="s">
        <v>52</v>
      </c>
      <c r="R69" s="4" t="s">
        <v>153</v>
      </c>
      <c r="S69" s="4" t="s">
        <v>36</v>
      </c>
      <c r="T69" s="8" t="s">
        <v>37</v>
      </c>
      <c r="U69" s="4" t="s">
        <v>38</v>
      </c>
      <c r="V69" s="9" t="s">
        <v>39</v>
      </c>
    </row>
    <row r="70" customFormat="false" ht="15" hidden="false" customHeight="false" outlineLevel="0" collapsed="false">
      <c r="A70" s="4" t="s">
        <v>209</v>
      </c>
      <c r="B70" s="4" t="s">
        <v>74</v>
      </c>
      <c r="C70" s="4" t="s">
        <v>75</v>
      </c>
      <c r="D70" s="4" t="s">
        <v>210</v>
      </c>
      <c r="E70" s="4" t="s">
        <v>49</v>
      </c>
      <c r="F70" s="4" t="s">
        <v>29</v>
      </c>
      <c r="G70" s="4" t="s">
        <v>30</v>
      </c>
      <c r="H70" s="5" t="n">
        <v>15</v>
      </c>
      <c r="I70" s="6" t="n">
        <v>600</v>
      </c>
      <c r="J70" s="6"/>
      <c r="K70" s="7" t="n">
        <v>10000</v>
      </c>
      <c r="L70" s="7" t="n">
        <v>10000</v>
      </c>
      <c r="M70" s="4" t="s">
        <v>71</v>
      </c>
      <c r="N70" s="5" t="n">
        <v>0.5</v>
      </c>
      <c r="O70" s="4" t="s">
        <v>58</v>
      </c>
      <c r="P70" s="4" t="s">
        <v>33</v>
      </c>
      <c r="Q70" s="4" t="s">
        <v>52</v>
      </c>
      <c r="R70" s="4" t="s">
        <v>207</v>
      </c>
      <c r="S70" s="4" t="s">
        <v>36</v>
      </c>
      <c r="T70" s="8" t="s">
        <v>37</v>
      </c>
      <c r="U70" s="4" t="s">
        <v>38</v>
      </c>
      <c r="V70" s="9" t="s">
        <v>39</v>
      </c>
    </row>
    <row r="71" customFormat="false" ht="15" hidden="false" customHeight="false" outlineLevel="0" collapsed="false">
      <c r="A71" s="4" t="s">
        <v>211</v>
      </c>
      <c r="B71" s="4" t="s">
        <v>74</v>
      </c>
      <c r="C71" s="4" t="s">
        <v>75</v>
      </c>
      <c r="D71" s="4" t="s">
        <v>210</v>
      </c>
      <c r="E71" s="4" t="s">
        <v>49</v>
      </c>
      <c r="F71" s="4" t="s">
        <v>29</v>
      </c>
      <c r="G71" s="4" t="s">
        <v>30</v>
      </c>
      <c r="H71" s="5" t="n">
        <v>15</v>
      </c>
      <c r="I71" s="6" t="n">
        <v>600</v>
      </c>
      <c r="J71" s="6"/>
      <c r="K71" s="7" t="n">
        <v>10000</v>
      </c>
      <c r="L71" s="7" t="n">
        <v>10000</v>
      </c>
      <c r="M71" s="4" t="s">
        <v>71</v>
      </c>
      <c r="N71" s="5" t="n">
        <v>0.5</v>
      </c>
      <c r="O71" s="4" t="s">
        <v>58</v>
      </c>
      <c r="P71" s="4" t="s">
        <v>33</v>
      </c>
      <c r="Q71" s="4" t="s">
        <v>52</v>
      </c>
      <c r="R71" s="4" t="s">
        <v>207</v>
      </c>
      <c r="S71" s="4" t="s">
        <v>36</v>
      </c>
      <c r="T71" s="8" t="s">
        <v>37</v>
      </c>
      <c r="U71" s="4" t="s">
        <v>38</v>
      </c>
      <c r="V71" s="9" t="s">
        <v>39</v>
      </c>
    </row>
    <row r="72" customFormat="false" ht="15" hidden="false" customHeight="false" outlineLevel="0" collapsed="false">
      <c r="A72" s="4" t="s">
        <v>212</v>
      </c>
      <c r="B72" s="4" t="s">
        <v>74</v>
      </c>
      <c r="C72" s="4" t="s">
        <v>111</v>
      </c>
      <c r="D72" s="4" t="s">
        <v>213</v>
      </c>
      <c r="E72" s="4" t="s">
        <v>49</v>
      </c>
      <c r="F72" s="4" t="s">
        <v>29</v>
      </c>
      <c r="G72" s="4" t="s">
        <v>30</v>
      </c>
      <c r="H72" s="5" t="n">
        <v>16</v>
      </c>
      <c r="I72" s="6" t="n">
        <v>420</v>
      </c>
      <c r="J72" s="6"/>
      <c r="K72" s="7" t="n">
        <v>300</v>
      </c>
      <c r="L72" s="7" t="n">
        <v>300</v>
      </c>
      <c r="M72" s="4" t="s">
        <v>188</v>
      </c>
      <c r="N72" s="5" t="n">
        <v>280</v>
      </c>
      <c r="O72" s="4" t="s">
        <v>107</v>
      </c>
      <c r="P72" s="4" t="s">
        <v>33</v>
      </c>
      <c r="Q72" s="4" t="s">
        <v>108</v>
      </c>
      <c r="R72" s="4" t="s">
        <v>114</v>
      </c>
      <c r="S72" s="4" t="s">
        <v>36</v>
      </c>
      <c r="T72" s="8" t="s">
        <v>37</v>
      </c>
      <c r="U72" s="4" t="s">
        <v>38</v>
      </c>
      <c r="V72" s="9" t="s">
        <v>39</v>
      </c>
    </row>
    <row r="73" customFormat="false" ht="15" hidden="false" customHeight="false" outlineLevel="0" collapsed="false">
      <c r="A73" s="4" t="s">
        <v>214</v>
      </c>
      <c r="B73" s="4" t="s">
        <v>74</v>
      </c>
      <c r="C73" s="4" t="s">
        <v>111</v>
      </c>
      <c r="D73" s="4" t="s">
        <v>213</v>
      </c>
      <c r="E73" s="4" t="s">
        <v>49</v>
      </c>
      <c r="F73" s="4" t="s">
        <v>29</v>
      </c>
      <c r="G73" s="4" t="s">
        <v>30</v>
      </c>
      <c r="H73" s="5" t="n">
        <v>16</v>
      </c>
      <c r="I73" s="6" t="n">
        <v>420</v>
      </c>
      <c r="J73" s="6"/>
      <c r="K73" s="7" t="n">
        <v>1500</v>
      </c>
      <c r="L73" s="7" t="n">
        <v>1500</v>
      </c>
      <c r="M73" s="4" t="s">
        <v>57</v>
      </c>
      <c r="N73" s="5" t="n">
        <v>280</v>
      </c>
      <c r="O73" s="4" t="s">
        <v>107</v>
      </c>
      <c r="P73" s="4" t="s">
        <v>33</v>
      </c>
      <c r="Q73" s="4" t="s">
        <v>108</v>
      </c>
      <c r="R73" s="4" t="s">
        <v>114</v>
      </c>
      <c r="S73" s="4" t="s">
        <v>36</v>
      </c>
      <c r="T73" s="8" t="s">
        <v>37</v>
      </c>
      <c r="U73" s="4" t="s">
        <v>38</v>
      </c>
      <c r="V73" s="9" t="s">
        <v>39</v>
      </c>
    </row>
    <row r="74" customFormat="false" ht="15" hidden="false" customHeight="false" outlineLevel="0" collapsed="false">
      <c r="A74" s="4" t="s">
        <v>215</v>
      </c>
      <c r="B74" s="4" t="s">
        <v>25</v>
      </c>
      <c r="C74" s="4" t="s">
        <v>142</v>
      </c>
      <c r="D74" s="4" t="s">
        <v>216</v>
      </c>
      <c r="E74" s="4" t="s">
        <v>49</v>
      </c>
      <c r="F74" s="4" t="s">
        <v>29</v>
      </c>
      <c r="G74" s="4" t="s">
        <v>30</v>
      </c>
      <c r="H74" s="5" t="n">
        <v>16</v>
      </c>
      <c r="I74" s="6" t="n">
        <v>500</v>
      </c>
      <c r="J74" s="6" t="n">
        <v>500</v>
      </c>
      <c r="K74" s="7" t="n">
        <v>50000</v>
      </c>
      <c r="L74" s="7" t="n">
        <v>20000</v>
      </c>
      <c r="M74" s="4" t="s">
        <v>217</v>
      </c>
      <c r="N74" s="5" t="n">
        <v>51</v>
      </c>
      <c r="O74" s="4" t="s">
        <v>218</v>
      </c>
      <c r="P74" s="4" t="s">
        <v>33</v>
      </c>
      <c r="Q74" s="4" t="s">
        <v>52</v>
      </c>
      <c r="R74" s="4" t="s">
        <v>53</v>
      </c>
      <c r="S74" s="4" t="s">
        <v>36</v>
      </c>
      <c r="T74" s="8" t="s">
        <v>37</v>
      </c>
      <c r="U74" s="4" t="s">
        <v>38</v>
      </c>
      <c r="V74" s="9" t="s">
        <v>39</v>
      </c>
    </row>
    <row r="75" customFormat="false" ht="15" hidden="false" customHeight="false" outlineLevel="0" collapsed="false">
      <c r="A75" s="4" t="s">
        <v>219</v>
      </c>
      <c r="B75" s="4" t="s">
        <v>25</v>
      </c>
      <c r="C75" s="4" t="s">
        <v>47</v>
      </c>
      <c r="D75" s="4" t="s">
        <v>220</v>
      </c>
      <c r="E75" s="4" t="s">
        <v>49</v>
      </c>
      <c r="F75" s="4" t="s">
        <v>29</v>
      </c>
      <c r="G75" s="4" t="s">
        <v>30</v>
      </c>
      <c r="H75" s="5" t="n">
        <v>16</v>
      </c>
      <c r="I75" s="6" t="n">
        <v>500</v>
      </c>
      <c r="J75" s="6"/>
      <c r="K75" s="7" t="n">
        <v>5000</v>
      </c>
      <c r="L75" s="7" t="n">
        <v>5000</v>
      </c>
      <c r="M75" s="4" t="s">
        <v>50</v>
      </c>
      <c r="N75" s="5"/>
      <c r="O75" s="4" t="s">
        <v>51</v>
      </c>
      <c r="P75" s="4" t="s">
        <v>33</v>
      </c>
      <c r="Q75" s="4" t="s">
        <v>52</v>
      </c>
      <c r="R75" s="4" t="s">
        <v>53</v>
      </c>
      <c r="S75" s="4" t="s">
        <v>36</v>
      </c>
      <c r="T75" s="8" t="s">
        <v>37</v>
      </c>
      <c r="U75" s="4" t="s">
        <v>38</v>
      </c>
      <c r="V75" s="9" t="s">
        <v>39</v>
      </c>
    </row>
    <row r="76" customFormat="false" ht="15" hidden="false" customHeight="false" outlineLevel="0" collapsed="false">
      <c r="A76" s="4" t="s">
        <v>221</v>
      </c>
      <c r="B76" s="4" t="s">
        <v>68</v>
      </c>
      <c r="C76" s="4" t="s">
        <v>149</v>
      </c>
      <c r="D76" s="4" t="s">
        <v>216</v>
      </c>
      <c r="E76" s="4" t="s">
        <v>49</v>
      </c>
      <c r="F76" s="4" t="s">
        <v>29</v>
      </c>
      <c r="G76" s="4" t="s">
        <v>30</v>
      </c>
      <c r="H76" s="5" t="n">
        <v>16</v>
      </c>
      <c r="I76" s="6" t="n">
        <v>500</v>
      </c>
      <c r="J76" s="6" t="n">
        <v>500</v>
      </c>
      <c r="K76" s="7" t="n">
        <v>30000</v>
      </c>
      <c r="L76" s="7" t="n">
        <v>20000</v>
      </c>
      <c r="M76" s="4" t="s">
        <v>151</v>
      </c>
      <c r="N76" s="5" t="n">
        <v>62</v>
      </c>
      <c r="O76" s="4" t="s">
        <v>58</v>
      </c>
      <c r="P76" s="4" t="s">
        <v>152</v>
      </c>
      <c r="Q76" s="4" t="s">
        <v>52</v>
      </c>
      <c r="R76" s="4" t="s">
        <v>153</v>
      </c>
      <c r="S76" s="4" t="s">
        <v>36</v>
      </c>
      <c r="T76" s="8" t="s">
        <v>37</v>
      </c>
      <c r="U76" s="4" t="s">
        <v>38</v>
      </c>
      <c r="V76" s="9" t="s">
        <v>39</v>
      </c>
    </row>
    <row r="77" customFormat="false" ht="15" hidden="false" customHeight="false" outlineLevel="0" collapsed="false">
      <c r="A77" s="4" t="s">
        <v>222</v>
      </c>
      <c r="B77" s="4" t="s">
        <v>161</v>
      </c>
      <c r="C77" s="4" t="s">
        <v>162</v>
      </c>
      <c r="D77" s="4" t="s">
        <v>163</v>
      </c>
      <c r="E77" s="4" t="s">
        <v>49</v>
      </c>
      <c r="F77" s="4" t="s">
        <v>29</v>
      </c>
      <c r="G77" s="4" t="s">
        <v>30</v>
      </c>
      <c r="H77" s="5" t="n">
        <v>16</v>
      </c>
      <c r="I77" s="6" t="n">
        <v>500</v>
      </c>
      <c r="J77" s="6" t="n">
        <v>500</v>
      </c>
      <c r="K77" s="7" t="n">
        <v>30000</v>
      </c>
      <c r="L77" s="7" t="n">
        <v>20000</v>
      </c>
      <c r="M77" s="4" t="s">
        <v>151</v>
      </c>
      <c r="N77" s="5" t="n">
        <v>90</v>
      </c>
      <c r="O77" s="4" t="s">
        <v>164</v>
      </c>
      <c r="P77" s="4" t="s">
        <v>165</v>
      </c>
      <c r="Q77" s="4" t="s">
        <v>52</v>
      </c>
      <c r="R77" s="4" t="s">
        <v>153</v>
      </c>
      <c r="S77" s="4" t="s">
        <v>36</v>
      </c>
      <c r="T77" s="8" t="s">
        <v>37</v>
      </c>
      <c r="U77" s="4" t="s">
        <v>38</v>
      </c>
      <c r="V77" s="9" t="s">
        <v>39</v>
      </c>
    </row>
    <row r="78" customFormat="false" ht="15" hidden="false" customHeight="false" outlineLevel="0" collapsed="false">
      <c r="A78" s="4" t="s">
        <v>223</v>
      </c>
      <c r="B78" s="4" t="s">
        <v>74</v>
      </c>
      <c r="C78" s="4" t="s">
        <v>75</v>
      </c>
      <c r="D78" s="4" t="s">
        <v>224</v>
      </c>
      <c r="E78" s="4" t="s">
        <v>49</v>
      </c>
      <c r="F78" s="4" t="s">
        <v>29</v>
      </c>
      <c r="G78" s="4" t="s">
        <v>30</v>
      </c>
      <c r="H78" s="5" t="n">
        <v>18</v>
      </c>
      <c r="I78" s="6" t="n">
        <v>500</v>
      </c>
      <c r="J78" s="6"/>
      <c r="K78" s="7" t="n">
        <v>20000</v>
      </c>
      <c r="L78" s="7" t="n">
        <v>20000</v>
      </c>
      <c r="M78" s="4" t="s">
        <v>206</v>
      </c>
      <c r="N78" s="5"/>
      <c r="O78" s="4" t="s">
        <v>58</v>
      </c>
      <c r="P78" s="4" t="s">
        <v>33</v>
      </c>
      <c r="Q78" s="4" t="s">
        <v>52</v>
      </c>
      <c r="R78" s="4" t="s">
        <v>207</v>
      </c>
      <c r="S78" s="4" t="s">
        <v>36</v>
      </c>
      <c r="T78" s="8" t="s">
        <v>37</v>
      </c>
      <c r="U78" s="4" t="s">
        <v>38</v>
      </c>
      <c r="V78" s="9" t="s">
        <v>39</v>
      </c>
    </row>
    <row r="79" customFormat="false" ht="15" hidden="false" customHeight="false" outlineLevel="0" collapsed="false">
      <c r="A79" s="4" t="s">
        <v>225</v>
      </c>
      <c r="B79" s="4" t="s">
        <v>74</v>
      </c>
      <c r="C79" s="4" t="s">
        <v>75</v>
      </c>
      <c r="D79" s="4" t="s">
        <v>226</v>
      </c>
      <c r="E79" s="4" t="s">
        <v>49</v>
      </c>
      <c r="F79" s="4" t="s">
        <v>29</v>
      </c>
      <c r="G79" s="4" t="s">
        <v>30</v>
      </c>
      <c r="H79" s="5" t="n">
        <v>18</v>
      </c>
      <c r="I79" s="6" t="n">
        <v>500</v>
      </c>
      <c r="J79" s="6"/>
      <c r="K79" s="7" t="n">
        <v>20000</v>
      </c>
      <c r="L79" s="7" t="n">
        <v>20000</v>
      </c>
      <c r="M79" s="4" t="s">
        <v>206</v>
      </c>
      <c r="N79" s="5"/>
      <c r="O79" s="4" t="s">
        <v>58</v>
      </c>
      <c r="P79" s="4" t="s">
        <v>33</v>
      </c>
      <c r="Q79" s="4" t="s">
        <v>52</v>
      </c>
      <c r="R79" s="4" t="s">
        <v>207</v>
      </c>
      <c r="S79" s="4" t="s">
        <v>36</v>
      </c>
      <c r="T79" s="8" t="s">
        <v>37</v>
      </c>
      <c r="U79" s="4" t="s">
        <v>38</v>
      </c>
      <c r="V79" s="9" t="s">
        <v>39</v>
      </c>
    </row>
    <row r="80" customFormat="false" ht="15" hidden="false" customHeight="false" outlineLevel="0" collapsed="false">
      <c r="A80" s="4" t="s">
        <v>227</v>
      </c>
      <c r="B80" s="4" t="s">
        <v>74</v>
      </c>
      <c r="C80" s="4" t="s">
        <v>75</v>
      </c>
      <c r="D80" s="4" t="s">
        <v>226</v>
      </c>
      <c r="E80" s="4" t="s">
        <v>49</v>
      </c>
      <c r="F80" s="4" t="s">
        <v>29</v>
      </c>
      <c r="G80" s="4" t="s">
        <v>30</v>
      </c>
      <c r="H80" s="5" t="n">
        <v>18</v>
      </c>
      <c r="I80" s="6" t="n">
        <v>500</v>
      </c>
      <c r="J80" s="6"/>
      <c r="K80" s="7" t="n">
        <v>20000</v>
      </c>
      <c r="L80" s="7" t="n">
        <v>20000</v>
      </c>
      <c r="M80" s="4" t="s">
        <v>206</v>
      </c>
      <c r="N80" s="5"/>
      <c r="O80" s="4" t="s">
        <v>58</v>
      </c>
      <c r="P80" s="4" t="s">
        <v>33</v>
      </c>
      <c r="Q80" s="4" t="s">
        <v>52</v>
      </c>
      <c r="R80" s="4" t="s">
        <v>207</v>
      </c>
      <c r="S80" s="4" t="s">
        <v>36</v>
      </c>
      <c r="T80" s="8" t="s">
        <v>37</v>
      </c>
      <c r="U80" s="4" t="s">
        <v>38</v>
      </c>
      <c r="V80" s="9" t="s">
        <v>39</v>
      </c>
    </row>
    <row r="81" customFormat="false" ht="15" hidden="false" customHeight="false" outlineLevel="0" collapsed="false">
      <c r="A81" s="4" t="s">
        <v>228</v>
      </c>
      <c r="B81" s="4" t="s">
        <v>74</v>
      </c>
      <c r="C81" s="4" t="s">
        <v>75</v>
      </c>
      <c r="D81" s="4" t="s">
        <v>226</v>
      </c>
      <c r="E81" s="4" t="s">
        <v>49</v>
      </c>
      <c r="F81" s="4" t="s">
        <v>29</v>
      </c>
      <c r="G81" s="4" t="s">
        <v>30</v>
      </c>
      <c r="H81" s="5" t="n">
        <v>18</v>
      </c>
      <c r="I81" s="6" t="n">
        <v>500</v>
      </c>
      <c r="J81" s="6"/>
      <c r="K81" s="7" t="n">
        <v>20000</v>
      </c>
      <c r="L81" s="7" t="n">
        <v>20000</v>
      </c>
      <c r="M81" s="4" t="s">
        <v>206</v>
      </c>
      <c r="N81" s="5"/>
      <c r="O81" s="4" t="s">
        <v>58</v>
      </c>
      <c r="P81" s="4" t="s">
        <v>33</v>
      </c>
      <c r="Q81" s="4" t="s">
        <v>52</v>
      </c>
      <c r="R81" s="4" t="s">
        <v>207</v>
      </c>
      <c r="S81" s="4" t="s">
        <v>36</v>
      </c>
      <c r="T81" s="8" t="s">
        <v>37</v>
      </c>
      <c r="U81" s="4" t="s">
        <v>38</v>
      </c>
      <c r="V81" s="9" t="s">
        <v>39</v>
      </c>
    </row>
    <row r="82" customFormat="false" ht="15" hidden="false" customHeight="false" outlineLevel="0" collapsed="false">
      <c r="A82" s="4" t="s">
        <v>229</v>
      </c>
      <c r="B82" s="4" t="s">
        <v>25</v>
      </c>
      <c r="C82" s="4" t="s">
        <v>104</v>
      </c>
      <c r="D82" s="4" t="s">
        <v>230</v>
      </c>
      <c r="E82" s="4" t="s">
        <v>49</v>
      </c>
      <c r="F82" s="4" t="s">
        <v>29</v>
      </c>
      <c r="G82" s="4" t="s">
        <v>30</v>
      </c>
      <c r="H82" s="5" t="n">
        <v>20</v>
      </c>
      <c r="I82" s="6" t="n">
        <v>420</v>
      </c>
      <c r="J82" s="6" t="n">
        <v>420</v>
      </c>
      <c r="K82" s="7" t="n">
        <v>200</v>
      </c>
      <c r="L82" s="7" t="n">
        <v>300</v>
      </c>
      <c r="M82" s="4" t="s">
        <v>106</v>
      </c>
      <c r="N82" s="5" t="n">
        <v>390</v>
      </c>
      <c r="O82" s="4" t="s">
        <v>231</v>
      </c>
      <c r="P82" s="4" t="s">
        <v>33</v>
      </c>
      <c r="Q82" s="4" t="s">
        <v>108</v>
      </c>
      <c r="R82" s="4" t="s">
        <v>109</v>
      </c>
      <c r="S82" s="4" t="s">
        <v>36</v>
      </c>
      <c r="T82" s="8" t="s">
        <v>37</v>
      </c>
      <c r="U82" s="4" t="s">
        <v>38</v>
      </c>
      <c r="V82" s="9" t="s">
        <v>39</v>
      </c>
    </row>
    <row r="83" customFormat="false" ht="15" hidden="false" customHeight="false" outlineLevel="0" collapsed="false">
      <c r="A83" s="4" t="s">
        <v>232</v>
      </c>
      <c r="B83" s="4" t="s">
        <v>74</v>
      </c>
      <c r="C83" s="4" t="s">
        <v>111</v>
      </c>
      <c r="D83" s="4" t="s">
        <v>233</v>
      </c>
      <c r="E83" s="4" t="s">
        <v>49</v>
      </c>
      <c r="F83" s="4" t="s">
        <v>29</v>
      </c>
      <c r="G83" s="4" t="s">
        <v>30</v>
      </c>
      <c r="H83" s="5" t="n">
        <v>20</v>
      </c>
      <c r="I83" s="6" t="n">
        <v>420</v>
      </c>
      <c r="J83" s="6"/>
      <c r="K83" s="7" t="n">
        <v>300</v>
      </c>
      <c r="L83" s="7" t="n">
        <v>300</v>
      </c>
      <c r="M83" s="4" t="s">
        <v>188</v>
      </c>
      <c r="N83" s="5" t="n">
        <v>420</v>
      </c>
      <c r="O83" s="4" t="s">
        <v>107</v>
      </c>
      <c r="P83" s="4" t="s">
        <v>33</v>
      </c>
      <c r="Q83" s="4" t="s">
        <v>108</v>
      </c>
      <c r="R83" s="4" t="s">
        <v>114</v>
      </c>
      <c r="S83" s="4" t="s">
        <v>36</v>
      </c>
      <c r="T83" s="8" t="s">
        <v>37</v>
      </c>
      <c r="U83" s="4" t="s">
        <v>38</v>
      </c>
      <c r="V83" s="9" t="s">
        <v>39</v>
      </c>
    </row>
    <row r="84" customFormat="false" ht="15" hidden="false" customHeight="false" outlineLevel="0" collapsed="false">
      <c r="A84" s="4" t="s">
        <v>234</v>
      </c>
      <c r="B84" s="4" t="s">
        <v>74</v>
      </c>
      <c r="C84" s="4" t="s">
        <v>111</v>
      </c>
      <c r="D84" s="4" t="s">
        <v>233</v>
      </c>
      <c r="E84" s="4" t="s">
        <v>49</v>
      </c>
      <c r="F84" s="4" t="s">
        <v>29</v>
      </c>
      <c r="G84" s="4" t="s">
        <v>30</v>
      </c>
      <c r="H84" s="5" t="n">
        <v>20</v>
      </c>
      <c r="I84" s="6" t="n">
        <v>420</v>
      </c>
      <c r="J84" s="6"/>
      <c r="K84" s="7" t="n">
        <v>1500</v>
      </c>
      <c r="L84" s="7" t="n">
        <v>1500</v>
      </c>
      <c r="M84" s="4" t="s">
        <v>57</v>
      </c>
      <c r="N84" s="5" t="n">
        <v>420</v>
      </c>
      <c r="O84" s="4" t="s">
        <v>107</v>
      </c>
      <c r="P84" s="4" t="s">
        <v>33</v>
      </c>
      <c r="Q84" s="4" t="s">
        <v>108</v>
      </c>
      <c r="R84" s="4" t="s">
        <v>114</v>
      </c>
      <c r="S84" s="4" t="s">
        <v>36</v>
      </c>
      <c r="T84" s="8" t="s">
        <v>37</v>
      </c>
      <c r="U84" s="4" t="s">
        <v>38</v>
      </c>
      <c r="V84" s="9" t="s">
        <v>39</v>
      </c>
    </row>
    <row r="85" customFormat="false" ht="15" hidden="false" customHeight="false" outlineLevel="0" collapsed="false">
      <c r="A85" s="4" t="s">
        <v>235</v>
      </c>
      <c r="B85" s="4" t="s">
        <v>25</v>
      </c>
      <c r="C85" s="4" t="s">
        <v>142</v>
      </c>
      <c r="D85" s="4" t="s">
        <v>236</v>
      </c>
      <c r="E85" s="4" t="s">
        <v>49</v>
      </c>
      <c r="F85" s="4" t="s">
        <v>29</v>
      </c>
      <c r="G85" s="4" t="s">
        <v>30</v>
      </c>
      <c r="H85" s="5" t="n">
        <v>20</v>
      </c>
      <c r="I85" s="6" t="n">
        <v>500</v>
      </c>
      <c r="J85" s="6" t="n">
        <v>500</v>
      </c>
      <c r="K85" s="7" t="n">
        <v>30000</v>
      </c>
      <c r="L85" s="7" t="n">
        <v>20000</v>
      </c>
      <c r="M85" s="4" t="s">
        <v>151</v>
      </c>
      <c r="N85" s="5" t="n">
        <v>203</v>
      </c>
      <c r="O85" s="4" t="s">
        <v>218</v>
      </c>
      <c r="P85" s="4" t="s">
        <v>33</v>
      </c>
      <c r="Q85" s="4" t="s">
        <v>52</v>
      </c>
      <c r="R85" s="4" t="s">
        <v>53</v>
      </c>
      <c r="S85" s="4" t="s">
        <v>36</v>
      </c>
      <c r="T85" s="8" t="s">
        <v>37</v>
      </c>
      <c r="U85" s="4" t="s">
        <v>38</v>
      </c>
      <c r="V85" s="9" t="s">
        <v>39</v>
      </c>
    </row>
    <row r="86" customFormat="false" ht="15" hidden="false" customHeight="false" outlineLevel="0" collapsed="false">
      <c r="A86" s="4" t="s">
        <v>237</v>
      </c>
      <c r="B86" s="4" t="s">
        <v>25</v>
      </c>
      <c r="C86" s="4" t="s">
        <v>142</v>
      </c>
      <c r="D86" s="4" t="s">
        <v>236</v>
      </c>
      <c r="E86" s="4" t="s">
        <v>49</v>
      </c>
      <c r="F86" s="4" t="s">
        <v>29</v>
      </c>
      <c r="G86" s="4" t="s">
        <v>30</v>
      </c>
      <c r="H86" s="5" t="n">
        <v>20</v>
      </c>
      <c r="I86" s="6" t="n">
        <v>500</v>
      </c>
      <c r="J86" s="6" t="n">
        <v>500</v>
      </c>
      <c r="K86" s="7" t="n">
        <v>30000</v>
      </c>
      <c r="L86" s="7" t="n">
        <v>20000</v>
      </c>
      <c r="M86" s="4" t="s">
        <v>151</v>
      </c>
      <c r="N86" s="5" t="n">
        <v>101</v>
      </c>
      <c r="O86" s="4" t="s">
        <v>218</v>
      </c>
      <c r="P86" s="4" t="s">
        <v>33</v>
      </c>
      <c r="Q86" s="4" t="s">
        <v>52</v>
      </c>
      <c r="R86" s="4" t="s">
        <v>53</v>
      </c>
      <c r="S86" s="4" t="s">
        <v>36</v>
      </c>
      <c r="T86" s="8" t="s">
        <v>37</v>
      </c>
      <c r="U86" s="4" t="s">
        <v>38</v>
      </c>
      <c r="V86" s="9" t="s">
        <v>39</v>
      </c>
    </row>
    <row r="87" customFormat="false" ht="15" hidden="false" customHeight="false" outlineLevel="0" collapsed="false">
      <c r="A87" s="4" t="s">
        <v>238</v>
      </c>
      <c r="B87" s="4" t="s">
        <v>68</v>
      </c>
      <c r="C87" s="4" t="s">
        <v>149</v>
      </c>
      <c r="D87" s="4" t="s">
        <v>236</v>
      </c>
      <c r="E87" s="4" t="s">
        <v>49</v>
      </c>
      <c r="F87" s="4" t="s">
        <v>29</v>
      </c>
      <c r="G87" s="4" t="s">
        <v>30</v>
      </c>
      <c r="H87" s="5" t="n">
        <v>20</v>
      </c>
      <c r="I87" s="6" t="n">
        <v>500</v>
      </c>
      <c r="J87" s="6" t="n">
        <v>500</v>
      </c>
      <c r="K87" s="7" t="n">
        <v>30000</v>
      </c>
      <c r="L87" s="7" t="n">
        <v>20000</v>
      </c>
      <c r="M87" s="4" t="s">
        <v>151</v>
      </c>
      <c r="N87" s="5" t="n">
        <v>120</v>
      </c>
      <c r="O87" s="4" t="s">
        <v>58</v>
      </c>
      <c r="P87" s="4" t="s">
        <v>152</v>
      </c>
      <c r="Q87" s="4" t="s">
        <v>52</v>
      </c>
      <c r="R87" s="4" t="s">
        <v>153</v>
      </c>
      <c r="S87" s="4" t="s">
        <v>36</v>
      </c>
      <c r="T87" s="8" t="s">
        <v>37</v>
      </c>
      <c r="U87" s="4" t="s">
        <v>38</v>
      </c>
      <c r="V87" s="9" t="s">
        <v>39</v>
      </c>
    </row>
    <row r="88" customFormat="false" ht="15" hidden="false" customHeight="false" outlineLevel="0" collapsed="false">
      <c r="A88" s="4" t="s">
        <v>239</v>
      </c>
      <c r="B88" s="4" t="s">
        <v>74</v>
      </c>
      <c r="C88" s="4" t="s">
        <v>75</v>
      </c>
      <c r="D88" s="4" t="s">
        <v>240</v>
      </c>
      <c r="E88" s="4" t="s">
        <v>49</v>
      </c>
      <c r="F88" s="4" t="s">
        <v>29</v>
      </c>
      <c r="G88" s="4" t="s">
        <v>30</v>
      </c>
      <c r="H88" s="5" t="n">
        <v>20</v>
      </c>
      <c r="I88" s="6" t="n">
        <v>500</v>
      </c>
      <c r="J88" s="6"/>
      <c r="K88" s="7" t="n">
        <v>20000</v>
      </c>
      <c r="L88" s="7" t="n">
        <v>20000</v>
      </c>
      <c r="M88" s="4" t="s">
        <v>206</v>
      </c>
      <c r="N88" s="5"/>
      <c r="O88" s="4" t="s">
        <v>58</v>
      </c>
      <c r="P88" s="4" t="s">
        <v>33</v>
      </c>
      <c r="Q88" s="4" t="s">
        <v>52</v>
      </c>
      <c r="R88" s="4" t="s">
        <v>207</v>
      </c>
      <c r="S88" s="4" t="s">
        <v>36</v>
      </c>
      <c r="T88" s="8" t="s">
        <v>37</v>
      </c>
      <c r="U88" s="4" t="s">
        <v>38</v>
      </c>
      <c r="V88" s="9" t="s">
        <v>39</v>
      </c>
    </row>
    <row r="89" customFormat="false" ht="15" hidden="false" customHeight="false" outlineLevel="0" collapsed="false">
      <c r="A89" s="4" t="s">
        <v>241</v>
      </c>
      <c r="B89" s="4" t="s">
        <v>74</v>
      </c>
      <c r="C89" s="4" t="s">
        <v>178</v>
      </c>
      <c r="D89" s="4" t="s">
        <v>236</v>
      </c>
      <c r="E89" s="4" t="s">
        <v>49</v>
      </c>
      <c r="F89" s="4" t="s">
        <v>29</v>
      </c>
      <c r="G89" s="4" t="s">
        <v>30</v>
      </c>
      <c r="H89" s="5" t="n">
        <v>20</v>
      </c>
      <c r="I89" s="6" t="n">
        <v>500</v>
      </c>
      <c r="J89" s="6" t="n">
        <v>500</v>
      </c>
      <c r="K89" s="7" t="n">
        <v>30000</v>
      </c>
      <c r="L89" s="7" t="n">
        <v>20000</v>
      </c>
      <c r="M89" s="4" t="s">
        <v>151</v>
      </c>
      <c r="N89" s="5" t="n">
        <v>88</v>
      </c>
      <c r="O89" s="4" t="s">
        <v>179</v>
      </c>
      <c r="P89" s="4" t="s">
        <v>180</v>
      </c>
      <c r="Q89" s="4" t="s">
        <v>52</v>
      </c>
      <c r="R89" s="4" t="s">
        <v>153</v>
      </c>
      <c r="S89" s="4" t="s">
        <v>36</v>
      </c>
      <c r="T89" s="8" t="s">
        <v>37</v>
      </c>
      <c r="U89" s="4" t="s">
        <v>38</v>
      </c>
      <c r="V89" s="9" t="s">
        <v>39</v>
      </c>
    </row>
    <row r="90" customFormat="false" ht="15" hidden="false" customHeight="false" outlineLevel="0" collapsed="false">
      <c r="A90" s="4" t="s">
        <v>242</v>
      </c>
      <c r="B90" s="4" t="s">
        <v>74</v>
      </c>
      <c r="C90" s="4" t="s">
        <v>75</v>
      </c>
      <c r="D90" s="4" t="s">
        <v>243</v>
      </c>
      <c r="E90" s="4" t="s">
        <v>49</v>
      </c>
      <c r="F90" s="4" t="s">
        <v>29</v>
      </c>
      <c r="G90" s="4" t="s">
        <v>30</v>
      </c>
      <c r="H90" s="5" t="n">
        <v>20</v>
      </c>
      <c r="I90" s="6" t="n">
        <v>500</v>
      </c>
      <c r="J90" s="6"/>
      <c r="K90" s="7" t="n">
        <v>20000</v>
      </c>
      <c r="L90" s="7" t="n">
        <v>20000</v>
      </c>
      <c r="M90" s="4" t="s">
        <v>206</v>
      </c>
      <c r="N90" s="5"/>
      <c r="O90" s="4" t="s">
        <v>58</v>
      </c>
      <c r="P90" s="4" t="s">
        <v>33</v>
      </c>
      <c r="Q90" s="4" t="s">
        <v>52</v>
      </c>
      <c r="R90" s="4" t="s">
        <v>207</v>
      </c>
      <c r="S90" s="4" t="s">
        <v>36</v>
      </c>
      <c r="T90" s="8" t="s">
        <v>37</v>
      </c>
      <c r="U90" s="4" t="s">
        <v>38</v>
      </c>
      <c r="V90" s="9" t="s">
        <v>39</v>
      </c>
    </row>
    <row r="91" customFormat="false" ht="15" hidden="false" customHeight="false" outlineLevel="0" collapsed="false">
      <c r="A91" s="4" t="s">
        <v>244</v>
      </c>
      <c r="B91" s="4" t="s">
        <v>74</v>
      </c>
      <c r="C91" s="4" t="s">
        <v>75</v>
      </c>
      <c r="D91" s="4" t="s">
        <v>243</v>
      </c>
      <c r="E91" s="4" t="s">
        <v>49</v>
      </c>
      <c r="F91" s="4" t="s">
        <v>29</v>
      </c>
      <c r="G91" s="4" t="s">
        <v>30</v>
      </c>
      <c r="H91" s="5" t="n">
        <v>20</v>
      </c>
      <c r="I91" s="6" t="n">
        <v>500</v>
      </c>
      <c r="J91" s="6"/>
      <c r="K91" s="7" t="n">
        <v>20000</v>
      </c>
      <c r="L91" s="7" t="n">
        <v>20000</v>
      </c>
      <c r="M91" s="4" t="s">
        <v>206</v>
      </c>
      <c r="N91" s="5"/>
      <c r="O91" s="4" t="s">
        <v>58</v>
      </c>
      <c r="P91" s="4" t="s">
        <v>33</v>
      </c>
      <c r="Q91" s="4" t="s">
        <v>52</v>
      </c>
      <c r="R91" s="4" t="s">
        <v>207</v>
      </c>
      <c r="S91" s="4" t="s">
        <v>36</v>
      </c>
      <c r="T91" s="8" t="s">
        <v>37</v>
      </c>
      <c r="U91" s="4" t="s">
        <v>38</v>
      </c>
      <c r="V91" s="9" t="s">
        <v>39</v>
      </c>
    </row>
    <row r="92" customFormat="false" ht="15" hidden="false" customHeight="false" outlineLevel="0" collapsed="false">
      <c r="A92" s="4" t="s">
        <v>245</v>
      </c>
      <c r="B92" s="4" t="s">
        <v>161</v>
      </c>
      <c r="C92" s="4" t="s">
        <v>162</v>
      </c>
      <c r="D92" s="4" t="s">
        <v>246</v>
      </c>
      <c r="E92" s="4" t="s">
        <v>49</v>
      </c>
      <c r="F92" s="4" t="s">
        <v>29</v>
      </c>
      <c r="G92" s="4" t="s">
        <v>30</v>
      </c>
      <c r="H92" s="5" t="n">
        <v>20</v>
      </c>
      <c r="I92" s="6" t="n">
        <v>500</v>
      </c>
      <c r="J92" s="6" t="n">
        <v>500</v>
      </c>
      <c r="K92" s="7" t="n">
        <v>30000</v>
      </c>
      <c r="L92" s="7" t="n">
        <v>20000</v>
      </c>
      <c r="M92" s="4" t="s">
        <v>151</v>
      </c>
      <c r="N92" s="5" t="n">
        <v>150</v>
      </c>
      <c r="O92" s="4" t="s">
        <v>164</v>
      </c>
      <c r="P92" s="4" t="s">
        <v>165</v>
      </c>
      <c r="Q92" s="4" t="s">
        <v>52</v>
      </c>
      <c r="R92" s="4" t="s">
        <v>153</v>
      </c>
      <c r="S92" s="4" t="s">
        <v>36</v>
      </c>
      <c r="T92" s="8" t="s">
        <v>37</v>
      </c>
      <c r="U92" s="4" t="s">
        <v>38</v>
      </c>
      <c r="V92" s="9" t="s">
        <v>39</v>
      </c>
    </row>
    <row r="93" customFormat="false" ht="15" hidden="false" customHeight="false" outlineLevel="0" collapsed="false">
      <c r="A93" s="4" t="s">
        <v>247</v>
      </c>
      <c r="B93" s="4" t="s">
        <v>74</v>
      </c>
      <c r="C93" s="4" t="s">
        <v>75</v>
      </c>
      <c r="D93" s="4" t="s">
        <v>243</v>
      </c>
      <c r="E93" s="4" t="s">
        <v>49</v>
      </c>
      <c r="F93" s="4" t="s">
        <v>29</v>
      </c>
      <c r="G93" s="4" t="s">
        <v>30</v>
      </c>
      <c r="H93" s="5" t="n">
        <v>20</v>
      </c>
      <c r="I93" s="6" t="n">
        <v>500</v>
      </c>
      <c r="J93" s="6"/>
      <c r="K93" s="7" t="n">
        <v>20000</v>
      </c>
      <c r="L93" s="7" t="n">
        <v>20000</v>
      </c>
      <c r="M93" s="4" t="s">
        <v>206</v>
      </c>
      <c r="N93" s="5"/>
      <c r="O93" s="4" t="s">
        <v>58</v>
      </c>
      <c r="P93" s="4" t="s">
        <v>33</v>
      </c>
      <c r="Q93" s="4" t="s">
        <v>52</v>
      </c>
      <c r="R93" s="4" t="s">
        <v>207</v>
      </c>
      <c r="S93" s="4" t="s">
        <v>36</v>
      </c>
      <c r="T93" s="8" t="s">
        <v>37</v>
      </c>
      <c r="U93" s="4" t="s">
        <v>38</v>
      </c>
      <c r="V93" s="9" t="s">
        <v>39</v>
      </c>
    </row>
    <row r="94" customFormat="false" ht="15" hidden="false" customHeight="false" outlineLevel="0" collapsed="false">
      <c r="A94" s="4" t="s">
        <v>248</v>
      </c>
      <c r="B94" s="4" t="s">
        <v>74</v>
      </c>
      <c r="C94" s="4" t="s">
        <v>75</v>
      </c>
      <c r="D94" s="4" t="s">
        <v>249</v>
      </c>
      <c r="E94" s="4" t="s">
        <v>49</v>
      </c>
      <c r="F94" s="4" t="s">
        <v>29</v>
      </c>
      <c r="G94" s="4" t="s">
        <v>30</v>
      </c>
      <c r="H94" s="5" t="n">
        <v>20</v>
      </c>
      <c r="I94" s="6" t="n">
        <v>600</v>
      </c>
      <c r="J94" s="6"/>
      <c r="K94" s="7" t="n">
        <v>10000</v>
      </c>
      <c r="L94" s="7" t="n">
        <v>10000</v>
      </c>
      <c r="M94" s="4" t="s">
        <v>71</v>
      </c>
      <c r="N94" s="5"/>
      <c r="O94" s="4" t="s">
        <v>58</v>
      </c>
      <c r="P94" s="4" t="s">
        <v>33</v>
      </c>
      <c r="Q94" s="4" t="s">
        <v>52</v>
      </c>
      <c r="R94" s="4" t="s">
        <v>53</v>
      </c>
      <c r="S94" s="4" t="s">
        <v>36</v>
      </c>
      <c r="T94" s="8" t="s">
        <v>37</v>
      </c>
      <c r="U94" s="4" t="s">
        <v>38</v>
      </c>
      <c r="V94" s="9" t="s">
        <v>39</v>
      </c>
    </row>
    <row r="95" customFormat="false" ht="15" hidden="false" customHeight="false" outlineLevel="0" collapsed="false">
      <c r="A95" s="4" t="s">
        <v>250</v>
      </c>
      <c r="B95" s="4" t="s">
        <v>25</v>
      </c>
      <c r="C95" s="4" t="s">
        <v>142</v>
      </c>
      <c r="D95" s="4" t="s">
        <v>251</v>
      </c>
      <c r="E95" s="4" t="s">
        <v>49</v>
      </c>
      <c r="F95" s="4" t="s">
        <v>29</v>
      </c>
      <c r="G95" s="4" t="s">
        <v>30</v>
      </c>
      <c r="H95" s="5" t="n">
        <v>25</v>
      </c>
      <c r="I95" s="6" t="n">
        <v>500</v>
      </c>
      <c r="J95" s="6" t="n">
        <v>500</v>
      </c>
      <c r="K95" s="7" t="n">
        <v>30000</v>
      </c>
      <c r="L95" s="7" t="n">
        <v>20000</v>
      </c>
      <c r="M95" s="4" t="s">
        <v>151</v>
      </c>
      <c r="N95" s="5" t="n">
        <v>145</v>
      </c>
      <c r="O95" s="4" t="s">
        <v>218</v>
      </c>
      <c r="P95" s="4" t="s">
        <v>33</v>
      </c>
      <c r="Q95" s="4" t="s">
        <v>52</v>
      </c>
      <c r="R95" s="4" t="s">
        <v>53</v>
      </c>
      <c r="S95" s="4" t="s">
        <v>36</v>
      </c>
      <c r="T95" s="8" t="s">
        <v>37</v>
      </c>
      <c r="U95" s="4" t="s">
        <v>38</v>
      </c>
      <c r="V95" s="9" t="s">
        <v>39</v>
      </c>
    </row>
    <row r="96" customFormat="false" ht="15" hidden="false" customHeight="false" outlineLevel="0" collapsed="false">
      <c r="A96" s="4" t="s">
        <v>252</v>
      </c>
      <c r="B96" s="4" t="s">
        <v>68</v>
      </c>
      <c r="C96" s="4" t="s">
        <v>149</v>
      </c>
      <c r="D96" s="4" t="s">
        <v>251</v>
      </c>
      <c r="E96" s="4" t="s">
        <v>49</v>
      </c>
      <c r="F96" s="4" t="s">
        <v>29</v>
      </c>
      <c r="G96" s="4" t="s">
        <v>30</v>
      </c>
      <c r="H96" s="5" t="n">
        <v>25</v>
      </c>
      <c r="I96" s="6" t="n">
        <v>500</v>
      </c>
      <c r="J96" s="6" t="n">
        <v>500</v>
      </c>
      <c r="K96" s="7" t="n">
        <v>30000</v>
      </c>
      <c r="L96" s="7" t="n">
        <v>20000</v>
      </c>
      <c r="M96" s="4" t="s">
        <v>151</v>
      </c>
      <c r="N96" s="5" t="n">
        <v>200</v>
      </c>
      <c r="O96" s="4" t="s">
        <v>58</v>
      </c>
      <c r="P96" s="4" t="s">
        <v>152</v>
      </c>
      <c r="Q96" s="4" t="s">
        <v>52</v>
      </c>
      <c r="R96" s="4" t="s">
        <v>153</v>
      </c>
      <c r="S96" s="4" t="s">
        <v>36</v>
      </c>
      <c r="T96" s="8" t="s">
        <v>37</v>
      </c>
      <c r="U96" s="4" t="s">
        <v>38</v>
      </c>
      <c r="V96" s="9" t="s">
        <v>39</v>
      </c>
    </row>
    <row r="97" customFormat="false" ht="15" hidden="false" customHeight="false" outlineLevel="0" collapsed="false">
      <c r="A97" s="4" t="s">
        <v>253</v>
      </c>
      <c r="B97" s="4" t="s">
        <v>74</v>
      </c>
      <c r="C97" s="4" t="s">
        <v>178</v>
      </c>
      <c r="D97" s="4" t="s">
        <v>251</v>
      </c>
      <c r="E97" s="4" t="s">
        <v>49</v>
      </c>
      <c r="F97" s="4" t="s">
        <v>29</v>
      </c>
      <c r="G97" s="4" t="s">
        <v>30</v>
      </c>
      <c r="H97" s="5" t="n">
        <v>25</v>
      </c>
      <c r="I97" s="6" t="n">
        <v>500</v>
      </c>
      <c r="J97" s="6" t="n">
        <v>500</v>
      </c>
      <c r="K97" s="7" t="n">
        <v>30000</v>
      </c>
      <c r="L97" s="7" t="n">
        <v>20000</v>
      </c>
      <c r="M97" s="4" t="s">
        <v>151</v>
      </c>
      <c r="N97" s="5" t="n">
        <v>125</v>
      </c>
      <c r="O97" s="4" t="s">
        <v>179</v>
      </c>
      <c r="P97" s="4" t="s">
        <v>180</v>
      </c>
      <c r="Q97" s="4" t="s">
        <v>52</v>
      </c>
      <c r="R97" s="4" t="s">
        <v>153</v>
      </c>
      <c r="S97" s="4" t="s">
        <v>36</v>
      </c>
      <c r="T97" s="8" t="s">
        <v>37</v>
      </c>
      <c r="U97" s="4" t="s">
        <v>38</v>
      </c>
      <c r="V97" s="9" t="s">
        <v>39</v>
      </c>
    </row>
    <row r="98" customFormat="false" ht="15" hidden="false" customHeight="false" outlineLevel="0" collapsed="false">
      <c r="A98" s="4" t="s">
        <v>254</v>
      </c>
      <c r="B98" s="4" t="s">
        <v>74</v>
      </c>
      <c r="C98" s="4" t="s">
        <v>75</v>
      </c>
      <c r="D98" s="4" t="s">
        <v>255</v>
      </c>
      <c r="E98" s="4" t="s">
        <v>49</v>
      </c>
      <c r="F98" s="4" t="s">
        <v>29</v>
      </c>
      <c r="G98" s="4" t="s">
        <v>30</v>
      </c>
      <c r="H98" s="5" t="n">
        <v>25</v>
      </c>
      <c r="I98" s="6" t="n">
        <v>500</v>
      </c>
      <c r="J98" s="6"/>
      <c r="K98" s="7" t="n">
        <v>10000</v>
      </c>
      <c r="L98" s="7" t="n">
        <v>10000</v>
      </c>
      <c r="M98" s="4" t="s">
        <v>71</v>
      </c>
      <c r="N98" s="5" t="n">
        <v>10</v>
      </c>
      <c r="O98" s="4" t="s">
        <v>58</v>
      </c>
      <c r="P98" s="4" t="s">
        <v>33</v>
      </c>
      <c r="Q98" s="4" t="s">
        <v>52</v>
      </c>
      <c r="R98" s="4" t="s">
        <v>207</v>
      </c>
      <c r="S98" s="4" t="s">
        <v>36</v>
      </c>
      <c r="T98" s="8" t="s">
        <v>37</v>
      </c>
      <c r="U98" s="4" t="s">
        <v>38</v>
      </c>
      <c r="V98" s="9" t="s">
        <v>39</v>
      </c>
    </row>
    <row r="99" customFormat="false" ht="15" hidden="false" customHeight="false" outlineLevel="0" collapsed="false">
      <c r="A99" s="4" t="s">
        <v>256</v>
      </c>
      <c r="B99" s="4" t="s">
        <v>74</v>
      </c>
      <c r="C99" s="4" t="s">
        <v>204</v>
      </c>
      <c r="D99" s="4" t="s">
        <v>257</v>
      </c>
      <c r="E99" s="4" t="s">
        <v>49</v>
      </c>
      <c r="F99" s="4" t="s">
        <v>29</v>
      </c>
      <c r="G99" s="4" t="s">
        <v>30</v>
      </c>
      <c r="H99" s="5" t="n">
        <v>25</v>
      </c>
      <c r="I99" s="6" t="n">
        <v>500</v>
      </c>
      <c r="J99" s="6"/>
      <c r="K99" s="7" t="n">
        <v>20000</v>
      </c>
      <c r="L99" s="7" t="n">
        <v>20000</v>
      </c>
      <c r="M99" s="4" t="s">
        <v>206</v>
      </c>
      <c r="N99" s="5"/>
      <c r="O99" s="4" t="s">
        <v>58</v>
      </c>
      <c r="P99" s="4" t="s">
        <v>33</v>
      </c>
      <c r="Q99" s="4" t="s">
        <v>52</v>
      </c>
      <c r="R99" s="4" t="s">
        <v>207</v>
      </c>
      <c r="S99" s="4" t="s">
        <v>36</v>
      </c>
      <c r="T99" s="8" t="s">
        <v>37</v>
      </c>
      <c r="U99" s="4" t="s">
        <v>38</v>
      </c>
      <c r="V99" s="10" t="s">
        <v>92</v>
      </c>
    </row>
    <row r="100" customFormat="false" ht="15" hidden="false" customHeight="false" outlineLevel="0" collapsed="false">
      <c r="A100" s="4" t="s">
        <v>258</v>
      </c>
      <c r="B100" s="4" t="s">
        <v>161</v>
      </c>
      <c r="C100" s="4" t="s">
        <v>162</v>
      </c>
      <c r="D100" s="4" t="s">
        <v>246</v>
      </c>
      <c r="E100" s="4" t="s">
        <v>49</v>
      </c>
      <c r="F100" s="4" t="s">
        <v>29</v>
      </c>
      <c r="G100" s="4" t="s">
        <v>30</v>
      </c>
      <c r="H100" s="5" t="n">
        <v>25</v>
      </c>
      <c r="I100" s="6" t="n">
        <v>500</v>
      </c>
      <c r="J100" s="6" t="n">
        <v>500</v>
      </c>
      <c r="K100" s="7" t="n">
        <v>30000</v>
      </c>
      <c r="L100" s="7" t="n">
        <v>20000</v>
      </c>
      <c r="M100" s="4" t="s">
        <v>151</v>
      </c>
      <c r="N100" s="5" t="n">
        <v>220</v>
      </c>
      <c r="O100" s="4" t="s">
        <v>164</v>
      </c>
      <c r="P100" s="4" t="s">
        <v>165</v>
      </c>
      <c r="Q100" s="4" t="s">
        <v>52</v>
      </c>
      <c r="R100" s="4" t="s">
        <v>153</v>
      </c>
      <c r="S100" s="4" t="s">
        <v>36</v>
      </c>
      <c r="T100" s="8" t="s">
        <v>37</v>
      </c>
      <c r="U100" s="4" t="s">
        <v>38</v>
      </c>
      <c r="V100" s="9" t="s">
        <v>39</v>
      </c>
    </row>
    <row r="101" customFormat="false" ht="15" hidden="false" customHeight="false" outlineLevel="0" collapsed="false">
      <c r="A101" s="4" t="s">
        <v>259</v>
      </c>
      <c r="B101" s="4" t="s">
        <v>74</v>
      </c>
      <c r="C101" s="4" t="s">
        <v>75</v>
      </c>
      <c r="D101" s="4" t="s">
        <v>255</v>
      </c>
      <c r="E101" s="4" t="s">
        <v>49</v>
      </c>
      <c r="F101" s="4" t="s">
        <v>29</v>
      </c>
      <c r="G101" s="4" t="s">
        <v>30</v>
      </c>
      <c r="H101" s="5" t="n">
        <v>25</v>
      </c>
      <c r="I101" s="6" t="n">
        <v>600</v>
      </c>
      <c r="J101" s="6"/>
      <c r="K101" s="7" t="n">
        <v>10000</v>
      </c>
      <c r="L101" s="7" t="n">
        <v>10000</v>
      </c>
      <c r="M101" s="4" t="s">
        <v>71</v>
      </c>
      <c r="N101" s="5" t="n">
        <v>2</v>
      </c>
      <c r="O101" s="4" t="s">
        <v>58</v>
      </c>
      <c r="P101" s="4" t="s">
        <v>33</v>
      </c>
      <c r="Q101" s="4" t="s">
        <v>52</v>
      </c>
      <c r="R101" s="4" t="s">
        <v>207</v>
      </c>
      <c r="S101" s="4" t="s">
        <v>36</v>
      </c>
      <c r="T101" s="8" t="s">
        <v>37</v>
      </c>
      <c r="U101" s="4" t="s">
        <v>38</v>
      </c>
      <c r="V101" s="9" t="s">
        <v>39</v>
      </c>
    </row>
    <row r="102" customFormat="false" ht="15" hidden="false" customHeight="false" outlineLevel="0" collapsed="false">
      <c r="A102" s="4" t="s">
        <v>260</v>
      </c>
      <c r="B102" s="4" t="s">
        <v>25</v>
      </c>
      <c r="C102" s="4" t="s">
        <v>142</v>
      </c>
      <c r="D102" s="4" t="s">
        <v>261</v>
      </c>
      <c r="E102" s="4" t="s">
        <v>49</v>
      </c>
      <c r="F102" s="4" t="s">
        <v>29</v>
      </c>
      <c r="G102" s="4" t="s">
        <v>30</v>
      </c>
      <c r="H102" s="5" t="n">
        <v>30</v>
      </c>
      <c r="I102" s="6" t="n">
        <v>500</v>
      </c>
      <c r="J102" s="6" t="n">
        <v>500</v>
      </c>
      <c r="K102" s="7" t="n">
        <v>30000</v>
      </c>
      <c r="L102" s="7" t="n">
        <v>20000</v>
      </c>
      <c r="M102" s="4" t="s">
        <v>151</v>
      </c>
      <c r="N102" s="5" t="n">
        <v>280</v>
      </c>
      <c r="O102" s="4" t="s">
        <v>218</v>
      </c>
      <c r="P102" s="4" t="s">
        <v>33</v>
      </c>
      <c r="Q102" s="4" t="s">
        <v>52</v>
      </c>
      <c r="R102" s="4" t="s">
        <v>53</v>
      </c>
      <c r="S102" s="4" t="s">
        <v>36</v>
      </c>
      <c r="T102" s="8" t="s">
        <v>37</v>
      </c>
      <c r="U102" s="4" t="s">
        <v>38</v>
      </c>
      <c r="V102" s="9" t="s">
        <v>39</v>
      </c>
    </row>
    <row r="103" customFormat="false" ht="15" hidden="false" customHeight="false" outlineLevel="0" collapsed="false">
      <c r="A103" s="4" t="s">
        <v>262</v>
      </c>
      <c r="B103" s="4" t="s">
        <v>25</v>
      </c>
      <c r="C103" s="4" t="s">
        <v>263</v>
      </c>
      <c r="D103" s="4" t="s">
        <v>264</v>
      </c>
      <c r="E103" s="4" t="s">
        <v>49</v>
      </c>
      <c r="F103" s="4" t="s">
        <v>29</v>
      </c>
      <c r="G103" s="4" t="s">
        <v>30</v>
      </c>
      <c r="H103" s="5" t="n">
        <v>30</v>
      </c>
      <c r="I103" s="6" t="n">
        <v>500</v>
      </c>
      <c r="J103" s="6" t="n">
        <v>500</v>
      </c>
      <c r="K103" s="7" t="n">
        <v>10000</v>
      </c>
      <c r="L103" s="7" t="n">
        <v>10000</v>
      </c>
      <c r="M103" s="4" t="s">
        <v>71</v>
      </c>
      <c r="N103" s="5" t="n">
        <v>1070</v>
      </c>
      <c r="O103" s="4" t="s">
        <v>58</v>
      </c>
      <c r="P103" s="4" t="s">
        <v>33</v>
      </c>
      <c r="Q103" s="4" t="s">
        <v>131</v>
      </c>
      <c r="R103" s="4" t="s">
        <v>265</v>
      </c>
      <c r="S103" s="4" t="s">
        <v>36</v>
      </c>
      <c r="T103" s="8" t="s">
        <v>37</v>
      </c>
      <c r="U103" s="4" t="s">
        <v>38</v>
      </c>
      <c r="V103" s="9" t="s">
        <v>39</v>
      </c>
    </row>
    <row r="104" customFormat="false" ht="15" hidden="false" customHeight="false" outlineLevel="0" collapsed="false">
      <c r="A104" s="4" t="s">
        <v>266</v>
      </c>
      <c r="B104" s="4" t="s">
        <v>25</v>
      </c>
      <c r="C104" s="4" t="s">
        <v>267</v>
      </c>
      <c r="D104" s="4" t="s">
        <v>264</v>
      </c>
      <c r="E104" s="4" t="s">
        <v>49</v>
      </c>
      <c r="F104" s="4" t="s">
        <v>29</v>
      </c>
      <c r="G104" s="4" t="s">
        <v>30</v>
      </c>
      <c r="H104" s="5" t="n">
        <v>30</v>
      </c>
      <c r="I104" s="6" t="n">
        <v>500</v>
      </c>
      <c r="J104" s="6" t="n">
        <v>500</v>
      </c>
      <c r="K104" s="7" t="n">
        <v>10000</v>
      </c>
      <c r="L104" s="7" t="n">
        <v>10000</v>
      </c>
      <c r="M104" s="4" t="s">
        <v>71</v>
      </c>
      <c r="N104" s="5" t="n">
        <v>700</v>
      </c>
      <c r="O104" s="4" t="s">
        <v>58</v>
      </c>
      <c r="P104" s="4" t="s">
        <v>33</v>
      </c>
      <c r="Q104" s="4" t="s">
        <v>131</v>
      </c>
      <c r="R104" s="4" t="s">
        <v>268</v>
      </c>
      <c r="S104" s="4" t="s">
        <v>36</v>
      </c>
      <c r="T104" s="8" t="s">
        <v>37</v>
      </c>
      <c r="U104" s="4" t="s">
        <v>38</v>
      </c>
      <c r="V104" s="9" t="s">
        <v>39</v>
      </c>
    </row>
    <row r="105" customFormat="false" ht="15" hidden="false" customHeight="false" outlineLevel="0" collapsed="false">
      <c r="A105" s="4" t="s">
        <v>269</v>
      </c>
      <c r="B105" s="4" t="s">
        <v>68</v>
      </c>
      <c r="C105" s="4" t="s">
        <v>149</v>
      </c>
      <c r="D105" s="4" t="s">
        <v>261</v>
      </c>
      <c r="E105" s="4" t="s">
        <v>49</v>
      </c>
      <c r="F105" s="4" t="s">
        <v>29</v>
      </c>
      <c r="G105" s="4" t="s">
        <v>30</v>
      </c>
      <c r="H105" s="5" t="n">
        <v>30</v>
      </c>
      <c r="I105" s="6" t="n">
        <v>500</v>
      </c>
      <c r="J105" s="6" t="n">
        <v>500</v>
      </c>
      <c r="K105" s="7" t="n">
        <v>30000</v>
      </c>
      <c r="L105" s="7" t="n">
        <v>20000</v>
      </c>
      <c r="M105" s="4" t="s">
        <v>151</v>
      </c>
      <c r="N105" s="5" t="n">
        <v>270</v>
      </c>
      <c r="O105" s="4" t="s">
        <v>58</v>
      </c>
      <c r="P105" s="4" t="s">
        <v>152</v>
      </c>
      <c r="Q105" s="4" t="s">
        <v>52</v>
      </c>
      <c r="R105" s="4" t="s">
        <v>153</v>
      </c>
      <c r="S105" s="4" t="s">
        <v>36</v>
      </c>
      <c r="T105" s="8" t="s">
        <v>37</v>
      </c>
      <c r="U105" s="4" t="s">
        <v>38</v>
      </c>
      <c r="V105" s="9" t="s">
        <v>39</v>
      </c>
    </row>
    <row r="106" customFormat="false" ht="15" hidden="false" customHeight="false" outlineLevel="0" collapsed="false">
      <c r="A106" s="4" t="s">
        <v>270</v>
      </c>
      <c r="B106" s="4" t="s">
        <v>74</v>
      </c>
      <c r="C106" s="4" t="s">
        <v>178</v>
      </c>
      <c r="D106" s="4" t="s">
        <v>261</v>
      </c>
      <c r="E106" s="4" t="s">
        <v>49</v>
      </c>
      <c r="F106" s="4" t="s">
        <v>29</v>
      </c>
      <c r="G106" s="4" t="s">
        <v>30</v>
      </c>
      <c r="H106" s="5" t="n">
        <v>30</v>
      </c>
      <c r="I106" s="6" t="n">
        <v>500</v>
      </c>
      <c r="J106" s="6" t="n">
        <v>500</v>
      </c>
      <c r="K106" s="7" t="n">
        <v>30000</v>
      </c>
      <c r="L106" s="7" t="n">
        <v>20000</v>
      </c>
      <c r="M106" s="4" t="s">
        <v>151</v>
      </c>
      <c r="N106" s="5" t="n">
        <v>270</v>
      </c>
      <c r="O106" s="4" t="s">
        <v>179</v>
      </c>
      <c r="P106" s="4" t="s">
        <v>180</v>
      </c>
      <c r="Q106" s="4" t="s">
        <v>52</v>
      </c>
      <c r="R106" s="4" t="s">
        <v>153</v>
      </c>
      <c r="S106" s="4" t="s">
        <v>36</v>
      </c>
      <c r="T106" s="8" t="s">
        <v>37</v>
      </c>
      <c r="U106" s="4" t="s">
        <v>38</v>
      </c>
      <c r="V106" s="9" t="s">
        <v>39</v>
      </c>
    </row>
    <row r="107" customFormat="false" ht="15" hidden="false" customHeight="false" outlineLevel="0" collapsed="false">
      <c r="A107" s="4" t="s">
        <v>271</v>
      </c>
      <c r="B107" s="4" t="s">
        <v>155</v>
      </c>
      <c r="C107" s="4" t="s">
        <v>156</v>
      </c>
      <c r="D107" s="4" t="s">
        <v>272</v>
      </c>
      <c r="E107" s="4" t="s">
        <v>49</v>
      </c>
      <c r="F107" s="4" t="s">
        <v>29</v>
      </c>
      <c r="G107" s="4" t="s">
        <v>30</v>
      </c>
      <c r="H107" s="5" t="n">
        <v>30</v>
      </c>
      <c r="I107" s="6" t="n">
        <v>500</v>
      </c>
      <c r="J107" s="6" t="n">
        <v>500</v>
      </c>
      <c r="K107" s="7" t="n">
        <v>100</v>
      </c>
      <c r="L107" s="7" t="n">
        <v>100</v>
      </c>
      <c r="M107" s="4" t="s">
        <v>31</v>
      </c>
      <c r="N107" s="5" t="n">
        <v>1986.1</v>
      </c>
      <c r="O107" s="4" t="s">
        <v>58</v>
      </c>
      <c r="P107" s="4" t="s">
        <v>33</v>
      </c>
      <c r="Q107" s="4" t="s">
        <v>158</v>
      </c>
      <c r="R107" s="4" t="s">
        <v>159</v>
      </c>
      <c r="S107" s="4" t="s">
        <v>36</v>
      </c>
      <c r="T107" s="8" t="s">
        <v>37</v>
      </c>
      <c r="U107" s="4" t="s">
        <v>38</v>
      </c>
      <c r="V107" s="9" t="s">
        <v>39</v>
      </c>
    </row>
    <row r="108" customFormat="false" ht="15" hidden="false" customHeight="false" outlineLevel="0" collapsed="false">
      <c r="A108" s="4" t="s">
        <v>273</v>
      </c>
      <c r="B108" s="4" t="s">
        <v>161</v>
      </c>
      <c r="C108" s="4" t="s">
        <v>162</v>
      </c>
      <c r="D108" s="4" t="s">
        <v>274</v>
      </c>
      <c r="E108" s="4" t="s">
        <v>49</v>
      </c>
      <c r="F108" s="4" t="s">
        <v>29</v>
      </c>
      <c r="G108" s="4" t="s">
        <v>30</v>
      </c>
      <c r="H108" s="5" t="n">
        <v>30</v>
      </c>
      <c r="I108" s="6" t="n">
        <v>500</v>
      </c>
      <c r="J108" s="6" t="n">
        <v>500</v>
      </c>
      <c r="K108" s="7" t="n">
        <v>30000</v>
      </c>
      <c r="L108" s="7" t="n">
        <v>20000</v>
      </c>
      <c r="M108" s="4" t="s">
        <v>151</v>
      </c>
      <c r="N108" s="5" t="n">
        <v>270</v>
      </c>
      <c r="O108" s="4" t="s">
        <v>164</v>
      </c>
      <c r="P108" s="4" t="s">
        <v>165</v>
      </c>
      <c r="Q108" s="4" t="s">
        <v>52</v>
      </c>
      <c r="R108" s="4" t="s">
        <v>153</v>
      </c>
      <c r="S108" s="4" t="s">
        <v>36</v>
      </c>
      <c r="T108" s="8" t="s">
        <v>37</v>
      </c>
      <c r="U108" s="4" t="s">
        <v>38</v>
      </c>
      <c r="V108" s="9" t="s">
        <v>39</v>
      </c>
    </row>
    <row r="109" customFormat="false" ht="15" hidden="false" customHeight="false" outlineLevel="0" collapsed="false">
      <c r="A109" s="4" t="s">
        <v>275</v>
      </c>
      <c r="B109" s="4" t="s">
        <v>74</v>
      </c>
      <c r="C109" s="4" t="s">
        <v>75</v>
      </c>
      <c r="D109" s="4" t="s">
        <v>276</v>
      </c>
      <c r="E109" s="4" t="s">
        <v>49</v>
      </c>
      <c r="F109" s="4" t="s">
        <v>29</v>
      </c>
      <c r="G109" s="4" t="s">
        <v>30</v>
      </c>
      <c r="H109" s="5" t="n">
        <v>30</v>
      </c>
      <c r="I109" s="6" t="n">
        <v>600</v>
      </c>
      <c r="J109" s="6"/>
      <c r="K109" s="7" t="n">
        <v>10000</v>
      </c>
      <c r="L109" s="7" t="n">
        <v>10000</v>
      </c>
      <c r="M109" s="4" t="s">
        <v>71</v>
      </c>
      <c r="N109" s="5"/>
      <c r="O109" s="4" t="s">
        <v>58</v>
      </c>
      <c r="P109" s="4" t="s">
        <v>33</v>
      </c>
      <c r="Q109" s="4" t="s">
        <v>52</v>
      </c>
      <c r="R109" s="4" t="s">
        <v>53</v>
      </c>
      <c r="S109" s="4" t="s">
        <v>36</v>
      </c>
      <c r="T109" s="8" t="s">
        <v>37</v>
      </c>
      <c r="U109" s="4" t="s">
        <v>38</v>
      </c>
      <c r="V109" s="9" t="s">
        <v>39</v>
      </c>
    </row>
    <row r="110" customFormat="false" ht="15" hidden="false" customHeight="false" outlineLevel="0" collapsed="false">
      <c r="A110" s="4" t="s">
        <v>277</v>
      </c>
      <c r="B110" s="4" t="s">
        <v>74</v>
      </c>
      <c r="C110" s="4" t="s">
        <v>75</v>
      </c>
      <c r="D110" s="4" t="s">
        <v>278</v>
      </c>
      <c r="E110" s="4" t="s">
        <v>49</v>
      </c>
      <c r="F110" s="4" t="s">
        <v>29</v>
      </c>
      <c r="G110" s="4" t="s">
        <v>30</v>
      </c>
      <c r="H110" s="5" t="n">
        <v>30</v>
      </c>
      <c r="I110" s="6" t="n">
        <v>600</v>
      </c>
      <c r="J110" s="6"/>
      <c r="K110" s="7" t="n">
        <v>10000</v>
      </c>
      <c r="L110" s="7" t="n">
        <v>10000</v>
      </c>
      <c r="M110" s="4" t="s">
        <v>71</v>
      </c>
      <c r="N110" s="5"/>
      <c r="O110" s="4" t="s">
        <v>58</v>
      </c>
      <c r="P110" s="4" t="s">
        <v>33</v>
      </c>
      <c r="Q110" s="4" t="s">
        <v>52</v>
      </c>
      <c r="R110" s="4" t="s">
        <v>53</v>
      </c>
      <c r="S110" s="4" t="s">
        <v>36</v>
      </c>
      <c r="T110" s="8" t="s">
        <v>37</v>
      </c>
      <c r="U110" s="4" t="s">
        <v>38</v>
      </c>
      <c r="V110" s="9" t="s">
        <v>39</v>
      </c>
    </row>
    <row r="111" customFormat="false" ht="15" hidden="false" customHeight="false" outlineLevel="0" collapsed="false">
      <c r="A111" s="4" t="s">
        <v>279</v>
      </c>
      <c r="B111" s="4" t="s">
        <v>74</v>
      </c>
      <c r="C111" s="4" t="s">
        <v>75</v>
      </c>
      <c r="D111" s="4" t="s">
        <v>280</v>
      </c>
      <c r="E111" s="4" t="s">
        <v>49</v>
      </c>
      <c r="F111" s="4" t="s">
        <v>29</v>
      </c>
      <c r="G111" s="4" t="s">
        <v>30</v>
      </c>
      <c r="H111" s="5" t="n">
        <v>30</v>
      </c>
      <c r="I111" s="6" t="n">
        <v>600</v>
      </c>
      <c r="J111" s="6"/>
      <c r="K111" s="7" t="n">
        <v>10000</v>
      </c>
      <c r="L111" s="7" t="n">
        <v>10000</v>
      </c>
      <c r="M111" s="4" t="s">
        <v>71</v>
      </c>
      <c r="N111" s="5"/>
      <c r="O111" s="4" t="s">
        <v>58</v>
      </c>
      <c r="P111" s="4" t="s">
        <v>33</v>
      </c>
      <c r="Q111" s="4" t="s">
        <v>52</v>
      </c>
      <c r="R111" s="4" t="s">
        <v>53</v>
      </c>
      <c r="S111" s="4" t="s">
        <v>36</v>
      </c>
      <c r="T111" s="8" t="s">
        <v>37</v>
      </c>
      <c r="U111" s="4" t="s">
        <v>38</v>
      </c>
      <c r="V111" s="9" t="s">
        <v>39</v>
      </c>
    </row>
    <row r="112" customFormat="false" ht="15" hidden="false" customHeight="false" outlineLevel="0" collapsed="false">
      <c r="A112" s="4" t="s">
        <v>281</v>
      </c>
      <c r="B112" s="4" t="s">
        <v>74</v>
      </c>
      <c r="C112" s="4" t="s">
        <v>75</v>
      </c>
      <c r="D112" s="4" t="s">
        <v>276</v>
      </c>
      <c r="E112" s="4" t="s">
        <v>49</v>
      </c>
      <c r="F112" s="4" t="s">
        <v>29</v>
      </c>
      <c r="G112" s="4" t="s">
        <v>30</v>
      </c>
      <c r="H112" s="5" t="n">
        <v>30</v>
      </c>
      <c r="I112" s="6" t="n">
        <v>600</v>
      </c>
      <c r="J112" s="6"/>
      <c r="K112" s="7" t="n">
        <v>10000</v>
      </c>
      <c r="L112" s="7" t="n">
        <v>10000</v>
      </c>
      <c r="M112" s="4" t="s">
        <v>71</v>
      </c>
      <c r="N112" s="5"/>
      <c r="O112" s="4" t="s">
        <v>58</v>
      </c>
      <c r="P112" s="4" t="s">
        <v>33</v>
      </c>
      <c r="Q112" s="4" t="s">
        <v>52</v>
      </c>
      <c r="R112" s="4" t="s">
        <v>53</v>
      </c>
      <c r="S112" s="4" t="s">
        <v>36</v>
      </c>
      <c r="T112" s="8" t="s">
        <v>37</v>
      </c>
      <c r="U112" s="4" t="s">
        <v>38</v>
      </c>
      <c r="V112" s="9" t="s">
        <v>39</v>
      </c>
    </row>
    <row r="113" customFormat="false" ht="15" hidden="false" customHeight="false" outlineLevel="0" collapsed="false">
      <c r="A113" s="4" t="s">
        <v>282</v>
      </c>
      <c r="B113" s="4" t="s">
        <v>74</v>
      </c>
      <c r="C113" s="4" t="s">
        <v>283</v>
      </c>
      <c r="D113" s="4" t="s">
        <v>284</v>
      </c>
      <c r="E113" s="4" t="s">
        <v>49</v>
      </c>
      <c r="F113" s="4" t="s">
        <v>29</v>
      </c>
      <c r="G113" s="4" t="s">
        <v>30</v>
      </c>
      <c r="H113" s="5" t="n">
        <v>30</v>
      </c>
      <c r="I113" s="6" t="n">
        <v>600</v>
      </c>
      <c r="J113" s="6" t="n">
        <v>500</v>
      </c>
      <c r="K113" s="7" t="n">
        <v>20000</v>
      </c>
      <c r="L113" s="7" t="n">
        <v>20000</v>
      </c>
      <c r="M113" s="4" t="s">
        <v>206</v>
      </c>
      <c r="N113" s="5"/>
      <c r="O113" s="4" t="s">
        <v>77</v>
      </c>
      <c r="P113" s="4" t="s">
        <v>36</v>
      </c>
      <c r="Q113" s="4" t="s">
        <v>52</v>
      </c>
      <c r="R113" s="4" t="s">
        <v>53</v>
      </c>
      <c r="S113" s="4" t="s">
        <v>36</v>
      </c>
      <c r="T113" s="8" t="s">
        <v>37</v>
      </c>
      <c r="U113" s="4" t="s">
        <v>38</v>
      </c>
      <c r="V113" s="9" t="s">
        <v>39</v>
      </c>
    </row>
    <row r="114" customFormat="false" ht="15" hidden="false" customHeight="false" outlineLevel="0" collapsed="false">
      <c r="A114" s="4" t="s">
        <v>285</v>
      </c>
      <c r="B114" s="4" t="s">
        <v>74</v>
      </c>
      <c r="C114" s="4" t="s">
        <v>75</v>
      </c>
      <c r="D114" s="4" t="s">
        <v>276</v>
      </c>
      <c r="E114" s="4" t="s">
        <v>49</v>
      </c>
      <c r="F114" s="4" t="s">
        <v>29</v>
      </c>
      <c r="G114" s="4" t="s">
        <v>30</v>
      </c>
      <c r="H114" s="5" t="n">
        <v>30</v>
      </c>
      <c r="I114" s="6" t="n">
        <v>600</v>
      </c>
      <c r="J114" s="6"/>
      <c r="K114" s="7" t="n">
        <v>10000</v>
      </c>
      <c r="L114" s="7" t="n">
        <v>10000</v>
      </c>
      <c r="M114" s="4" t="s">
        <v>71</v>
      </c>
      <c r="N114" s="5"/>
      <c r="O114" s="4" t="s">
        <v>58</v>
      </c>
      <c r="P114" s="4" t="s">
        <v>33</v>
      </c>
      <c r="Q114" s="4" t="s">
        <v>52</v>
      </c>
      <c r="R114" s="4" t="s">
        <v>53</v>
      </c>
      <c r="S114" s="4" t="s">
        <v>36</v>
      </c>
      <c r="T114" s="8" t="s">
        <v>37</v>
      </c>
      <c r="U114" s="4" t="s">
        <v>38</v>
      </c>
      <c r="V114" s="9" t="s">
        <v>39</v>
      </c>
    </row>
    <row r="115" customFormat="false" ht="15" hidden="false" customHeight="false" outlineLevel="0" collapsed="false">
      <c r="A115" s="4" t="s">
        <v>286</v>
      </c>
      <c r="B115" s="4" t="s">
        <v>161</v>
      </c>
      <c r="C115" s="4" t="s">
        <v>162</v>
      </c>
      <c r="D115" s="4" t="s">
        <v>274</v>
      </c>
      <c r="E115" s="4" t="s">
        <v>49</v>
      </c>
      <c r="F115" s="4" t="s">
        <v>29</v>
      </c>
      <c r="G115" s="4" t="s">
        <v>30</v>
      </c>
      <c r="H115" s="5" t="n">
        <v>35</v>
      </c>
      <c r="I115" s="6" t="n">
        <v>500</v>
      </c>
      <c r="J115" s="6" t="n">
        <v>500</v>
      </c>
      <c r="K115" s="7" t="n">
        <v>30000</v>
      </c>
      <c r="L115" s="7" t="n">
        <v>20000</v>
      </c>
      <c r="M115" s="4" t="s">
        <v>151</v>
      </c>
      <c r="N115" s="5" t="n">
        <v>650</v>
      </c>
      <c r="O115" s="4" t="s">
        <v>164</v>
      </c>
      <c r="P115" s="4" t="s">
        <v>165</v>
      </c>
      <c r="Q115" s="4" t="s">
        <v>52</v>
      </c>
      <c r="R115" s="4" t="s">
        <v>153</v>
      </c>
      <c r="S115" s="4" t="s">
        <v>36</v>
      </c>
      <c r="T115" s="8" t="s">
        <v>37</v>
      </c>
      <c r="U115" s="4" t="s">
        <v>38</v>
      </c>
      <c r="V115" s="9" t="s">
        <v>39</v>
      </c>
    </row>
    <row r="116" customFormat="false" ht="15" hidden="false" customHeight="false" outlineLevel="0" collapsed="false">
      <c r="A116" s="4" t="s">
        <v>287</v>
      </c>
      <c r="B116" s="4" t="s">
        <v>25</v>
      </c>
      <c r="C116" s="4" t="s">
        <v>263</v>
      </c>
      <c r="D116" s="4" t="s">
        <v>288</v>
      </c>
      <c r="E116" s="4" t="s">
        <v>49</v>
      </c>
      <c r="F116" s="4" t="s">
        <v>29</v>
      </c>
      <c r="G116" s="4" t="s">
        <v>30</v>
      </c>
      <c r="H116" s="5" t="n">
        <v>40</v>
      </c>
      <c r="I116" s="6" t="n">
        <v>500</v>
      </c>
      <c r="J116" s="6" t="n">
        <v>500</v>
      </c>
      <c r="K116" s="7" t="n">
        <v>10000</v>
      </c>
      <c r="L116" s="7" t="n">
        <v>10000</v>
      </c>
      <c r="M116" s="4" t="s">
        <v>71</v>
      </c>
      <c r="N116" s="5" t="n">
        <v>2340</v>
      </c>
      <c r="O116" s="4" t="s">
        <v>58</v>
      </c>
      <c r="P116" s="4" t="s">
        <v>33</v>
      </c>
      <c r="Q116" s="4" t="s">
        <v>131</v>
      </c>
      <c r="R116" s="4" t="s">
        <v>265</v>
      </c>
      <c r="S116" s="4" t="s">
        <v>36</v>
      </c>
      <c r="T116" s="8" t="s">
        <v>37</v>
      </c>
      <c r="U116" s="4" t="s">
        <v>38</v>
      </c>
      <c r="V116" s="9" t="s">
        <v>39</v>
      </c>
    </row>
    <row r="117" customFormat="false" ht="15" hidden="false" customHeight="false" outlineLevel="0" collapsed="false">
      <c r="A117" s="4" t="s">
        <v>289</v>
      </c>
      <c r="B117" s="4" t="s">
        <v>25</v>
      </c>
      <c r="C117" s="4" t="s">
        <v>267</v>
      </c>
      <c r="D117" s="4" t="s">
        <v>288</v>
      </c>
      <c r="E117" s="4" t="s">
        <v>49</v>
      </c>
      <c r="F117" s="4" t="s">
        <v>29</v>
      </c>
      <c r="G117" s="4" t="s">
        <v>30</v>
      </c>
      <c r="H117" s="5" t="n">
        <v>40</v>
      </c>
      <c r="I117" s="6" t="n">
        <v>500</v>
      </c>
      <c r="J117" s="6" t="n">
        <v>500</v>
      </c>
      <c r="K117" s="7" t="n">
        <v>10000</v>
      </c>
      <c r="L117" s="7" t="n">
        <v>10000</v>
      </c>
      <c r="M117" s="4" t="s">
        <v>71</v>
      </c>
      <c r="N117" s="5" t="n">
        <v>1090</v>
      </c>
      <c r="O117" s="4" t="s">
        <v>58</v>
      </c>
      <c r="P117" s="4" t="s">
        <v>33</v>
      </c>
      <c r="Q117" s="4" t="s">
        <v>131</v>
      </c>
      <c r="R117" s="4" t="s">
        <v>268</v>
      </c>
      <c r="S117" s="4" t="s">
        <v>36</v>
      </c>
      <c r="T117" s="8" t="s">
        <v>37</v>
      </c>
      <c r="U117" s="4" t="s">
        <v>38</v>
      </c>
      <c r="V117" s="9" t="s">
        <v>39</v>
      </c>
    </row>
    <row r="118" customFormat="false" ht="15" hidden="false" customHeight="false" outlineLevel="0" collapsed="false">
      <c r="A118" s="4" t="s">
        <v>290</v>
      </c>
      <c r="B118" s="4" t="s">
        <v>161</v>
      </c>
      <c r="C118" s="4" t="s">
        <v>162</v>
      </c>
      <c r="D118" s="4" t="s">
        <v>291</v>
      </c>
      <c r="E118" s="4" t="s">
        <v>49</v>
      </c>
      <c r="F118" s="4" t="s">
        <v>29</v>
      </c>
      <c r="G118" s="4" t="s">
        <v>30</v>
      </c>
      <c r="H118" s="5" t="n">
        <v>40</v>
      </c>
      <c r="I118" s="6" t="n">
        <v>500</v>
      </c>
      <c r="J118" s="6" t="n">
        <v>500</v>
      </c>
      <c r="K118" s="7" t="n">
        <v>30000</v>
      </c>
      <c r="L118" s="7" t="n">
        <v>20000</v>
      </c>
      <c r="M118" s="4" t="s">
        <v>151</v>
      </c>
      <c r="N118" s="5" t="n">
        <v>2080</v>
      </c>
      <c r="O118" s="4" t="s">
        <v>164</v>
      </c>
      <c r="P118" s="4" t="s">
        <v>165</v>
      </c>
      <c r="Q118" s="4" t="s">
        <v>52</v>
      </c>
      <c r="R118" s="4" t="s">
        <v>153</v>
      </c>
      <c r="S118" s="4" t="s">
        <v>36</v>
      </c>
      <c r="T118" s="8" t="s">
        <v>37</v>
      </c>
      <c r="U118" s="4" t="s">
        <v>38</v>
      </c>
      <c r="V118" s="9" t="s">
        <v>39</v>
      </c>
    </row>
    <row r="119" customFormat="false" ht="15" hidden="false" customHeight="false" outlineLevel="0" collapsed="false">
      <c r="A119" s="4" t="s">
        <v>292</v>
      </c>
      <c r="B119" s="4" t="s">
        <v>25</v>
      </c>
      <c r="C119" s="4" t="s">
        <v>263</v>
      </c>
      <c r="D119" s="4" t="s">
        <v>293</v>
      </c>
      <c r="E119" s="4" t="s">
        <v>49</v>
      </c>
      <c r="F119" s="4" t="s">
        <v>29</v>
      </c>
      <c r="G119" s="4" t="s">
        <v>30</v>
      </c>
      <c r="H119" s="5" t="n">
        <v>50</v>
      </c>
      <c r="I119" s="6" t="n">
        <v>500</v>
      </c>
      <c r="J119" s="6" t="n">
        <v>500</v>
      </c>
      <c r="K119" s="7" t="n">
        <v>10000</v>
      </c>
      <c r="L119" s="7" t="n">
        <v>10000</v>
      </c>
      <c r="M119" s="4" t="s">
        <v>71</v>
      </c>
      <c r="N119" s="5" t="n">
        <v>3850</v>
      </c>
      <c r="O119" s="4" t="s">
        <v>58</v>
      </c>
      <c r="P119" s="4" t="s">
        <v>33</v>
      </c>
      <c r="Q119" s="4" t="s">
        <v>131</v>
      </c>
      <c r="R119" s="4" t="s">
        <v>265</v>
      </c>
      <c r="S119" s="4" t="s">
        <v>36</v>
      </c>
      <c r="T119" s="8" t="s">
        <v>37</v>
      </c>
      <c r="U119" s="4" t="s">
        <v>38</v>
      </c>
      <c r="V119" s="9" t="s">
        <v>39</v>
      </c>
    </row>
  </sheetData>
  <autoFilter ref="A4:V119"/>
  <mergeCells count="2">
    <mergeCell ref="A1:V1"/>
    <mergeCell ref="A2:V2"/>
  </mergeCells>
  <hyperlinks>
    <hyperlink ref="T5" r:id="rId1" display="Link"/>
    <hyperlink ref="T6" r:id="rId2" display="Link"/>
    <hyperlink ref="T7" r:id="rId3" display="Link"/>
    <hyperlink ref="T8" r:id="rId4" display="Link"/>
    <hyperlink ref="T9" r:id="rId5" display="Link"/>
    <hyperlink ref="T10" r:id="rId6" display="Link"/>
    <hyperlink ref="T11" r:id="rId7" display="Link"/>
    <hyperlink ref="T12" r:id="rId8" display="Link"/>
    <hyperlink ref="T13" r:id="rId9" display="Link"/>
    <hyperlink ref="T14" r:id="rId10" display="Link"/>
    <hyperlink ref="T15" r:id="rId11" display="Link"/>
    <hyperlink ref="T16" r:id="rId12" display="Link"/>
    <hyperlink ref="T17" r:id="rId13" display="Link"/>
    <hyperlink ref="T18" r:id="rId14" display="Link"/>
    <hyperlink ref="T19" r:id="rId15" display="Link"/>
    <hyperlink ref="T20" r:id="rId16" display="Link"/>
    <hyperlink ref="T21" r:id="rId17" display="Link"/>
    <hyperlink ref="T22" r:id="rId18" display="Link"/>
    <hyperlink ref="T23" r:id="rId19" display="Link"/>
    <hyperlink ref="T24" r:id="rId20" display="Link"/>
    <hyperlink ref="T25" r:id="rId21" display="Link"/>
    <hyperlink ref="T26" r:id="rId22" display="Link"/>
    <hyperlink ref="T27" r:id="rId23" display="Link"/>
    <hyperlink ref="T28" r:id="rId24" display="Link"/>
    <hyperlink ref="T29" r:id="rId25" display="Link"/>
    <hyperlink ref="T30" r:id="rId26" display="Link"/>
    <hyperlink ref="T31" r:id="rId27" display="Link"/>
    <hyperlink ref="T32" r:id="rId28" display="Link"/>
    <hyperlink ref="T33" r:id="rId29" display="Link"/>
    <hyperlink ref="T34" r:id="rId30" display="Link"/>
    <hyperlink ref="T35" r:id="rId31" display="Link"/>
    <hyperlink ref="T37" r:id="rId32" display="Link"/>
    <hyperlink ref="T38" r:id="rId33" display="Link"/>
    <hyperlink ref="T39" r:id="rId34" display="Link"/>
    <hyperlink ref="T40" r:id="rId35" display="Link"/>
    <hyperlink ref="T41" r:id="rId36" display="Link"/>
    <hyperlink ref="T42" r:id="rId37" display="Link"/>
    <hyperlink ref="T43" r:id="rId38" display="Link"/>
    <hyperlink ref="T44" r:id="rId39" display="Link"/>
    <hyperlink ref="T45" r:id="rId40" display="Link"/>
    <hyperlink ref="T46" r:id="rId41" display="Link"/>
    <hyperlink ref="T47" r:id="rId42" display="Link"/>
    <hyperlink ref="T48" r:id="rId43" display="Link"/>
    <hyperlink ref="T49" r:id="rId44" display="Link"/>
    <hyperlink ref="T50" r:id="rId45" display="Link"/>
    <hyperlink ref="T51" r:id="rId46" display="Link"/>
    <hyperlink ref="T52" r:id="rId47" display="Link"/>
    <hyperlink ref="T53" r:id="rId48" display="Link"/>
    <hyperlink ref="T54" r:id="rId49" display="Link"/>
    <hyperlink ref="T55" r:id="rId50" display="Link"/>
    <hyperlink ref="T56" r:id="rId51" display="Link"/>
    <hyperlink ref="T57" r:id="rId52" display="Link"/>
    <hyperlink ref="T58" r:id="rId53" display="Link"/>
    <hyperlink ref="T59" r:id="rId54" display="Link"/>
    <hyperlink ref="T60" r:id="rId55" display="Link"/>
    <hyperlink ref="T61" r:id="rId56" display="Link"/>
    <hyperlink ref="T62" r:id="rId57" display="Link"/>
    <hyperlink ref="T63" r:id="rId58" display="Link"/>
    <hyperlink ref="T64" r:id="rId59" display="Link"/>
    <hyperlink ref="T65" r:id="rId60" display="Link"/>
    <hyperlink ref="T66" r:id="rId61" display="Link"/>
    <hyperlink ref="T67" r:id="rId62" display="Link"/>
    <hyperlink ref="T68" r:id="rId63" display="Link"/>
    <hyperlink ref="T69" r:id="rId64" display="Link"/>
    <hyperlink ref="T70" r:id="rId65" display="Link"/>
    <hyperlink ref="T71" r:id="rId66" display="Link"/>
    <hyperlink ref="T72" r:id="rId67" display="Link"/>
    <hyperlink ref="T73" r:id="rId68" display="Link"/>
    <hyperlink ref="T74" r:id="rId69" display="Link"/>
    <hyperlink ref="T75" r:id="rId70" display="Link"/>
    <hyperlink ref="T76" r:id="rId71" display="Link"/>
    <hyperlink ref="T77" r:id="rId72" display="Link"/>
    <hyperlink ref="T78" r:id="rId73" display="Link"/>
    <hyperlink ref="T79" r:id="rId74" display="Link"/>
    <hyperlink ref="T80" r:id="rId75" display="Link"/>
    <hyperlink ref="T81" r:id="rId76" display="Link"/>
    <hyperlink ref="T82" r:id="rId77" display="Link"/>
    <hyperlink ref="T83" r:id="rId78" display="Link"/>
    <hyperlink ref="T84" r:id="rId79" display="Link"/>
    <hyperlink ref="T85" r:id="rId80" display="Link"/>
    <hyperlink ref="T86" r:id="rId81" display="Link"/>
    <hyperlink ref="T87" r:id="rId82" display="Link"/>
    <hyperlink ref="T88" r:id="rId83" display="Link"/>
    <hyperlink ref="T89" r:id="rId84" display="Link"/>
    <hyperlink ref="T90" r:id="rId85" display="Link"/>
    <hyperlink ref="T91" r:id="rId86" display="Link"/>
    <hyperlink ref="T92" r:id="rId87" display="Link"/>
    <hyperlink ref="T93" r:id="rId88" display="Link"/>
    <hyperlink ref="T94" r:id="rId89" display="Link"/>
    <hyperlink ref="T95" r:id="rId90" display="Link"/>
    <hyperlink ref="T96" r:id="rId91" display="Link"/>
    <hyperlink ref="T97" r:id="rId92" display="Link"/>
    <hyperlink ref="T98" r:id="rId93" display="Link"/>
    <hyperlink ref="T99" r:id="rId94" display="Link"/>
    <hyperlink ref="T100" r:id="rId95" display="Link"/>
    <hyperlink ref="T101" r:id="rId96" display="Link"/>
    <hyperlink ref="T102" r:id="rId97" display="Link"/>
    <hyperlink ref="T103" r:id="rId98" display="Link"/>
    <hyperlink ref="T104" r:id="rId99" display="Link"/>
    <hyperlink ref="T105" r:id="rId100" display="Link"/>
    <hyperlink ref="T106" r:id="rId101" display="Link"/>
    <hyperlink ref="T107" r:id="rId102" display="Link"/>
    <hyperlink ref="T108" r:id="rId103" display="Link"/>
    <hyperlink ref="T109" r:id="rId104" display="Link"/>
    <hyperlink ref="T110" r:id="rId105" display="Link"/>
    <hyperlink ref="T111" r:id="rId106" display="Link"/>
    <hyperlink ref="T112" r:id="rId107" display="Link"/>
    <hyperlink ref="T113" r:id="rId108" display="Link"/>
    <hyperlink ref="T114" r:id="rId109" display="Link"/>
    <hyperlink ref="T115" r:id="rId110" display="Link"/>
    <hyperlink ref="T116" r:id="rId111" display="Link"/>
    <hyperlink ref="T117" r:id="rId112" display="Link"/>
    <hyperlink ref="T118" r:id="rId113" display="Link"/>
    <hyperlink ref="T119" r:id="rId114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1" t="s">
        <v>294</v>
      </c>
    </row>
    <row r="2" customFormat="false" ht="15" hidden="false" customHeight="false" outlineLevel="0" collapsed="false">
      <c r="A2" s="12" t="s">
        <v>295</v>
      </c>
    </row>
    <row r="4" customFormat="false" ht="15" hidden="false" customHeight="false" outlineLevel="0" collapsed="false">
      <c r="A4" s="13" t="s">
        <v>296</v>
      </c>
    </row>
    <row r="5" customFormat="false" ht="15" hidden="false" customHeight="false" outlineLevel="0" collapsed="false">
      <c r="A5" s="14" t="s">
        <v>297</v>
      </c>
      <c r="B5" s="15" t="n">
        <f aca="false">COUNTA('Fuse Database'!A5:A119)</f>
        <v>115</v>
      </c>
    </row>
    <row r="6" customFormat="false" ht="15" hidden="false" customHeight="false" outlineLevel="0" collapsed="false">
      <c r="A6" s="14" t="s">
        <v>298</v>
      </c>
      <c r="B6" s="15" t="n">
        <f aca="false">COUNTIF('Fuse Database'!V5:V119,"CHECK")</f>
        <v>3</v>
      </c>
    </row>
    <row r="7" customFormat="false" ht="15" hidden="false" customHeight="false" outlineLevel="0" collapsed="false">
      <c r="A7" s="14" t="s">
        <v>299</v>
      </c>
      <c r="B7" s="0" t="n">
        <v>8</v>
      </c>
      <c r="C7" s="12" t="s">
        <v>300</v>
      </c>
    </row>
    <row r="9" customFormat="false" ht="15" hidden="false" customHeight="false" outlineLevel="0" collapsed="false">
      <c r="A9" s="13" t="s">
        <v>301</v>
      </c>
      <c r="D9" s="13" t="s">
        <v>302</v>
      </c>
      <c r="G9" s="13" t="s">
        <v>303</v>
      </c>
    </row>
    <row r="10" customFormat="false" ht="15" hidden="false" customHeight="false" outlineLevel="0" collapsed="false">
      <c r="A10" s="16" t="s">
        <v>3</v>
      </c>
      <c r="B10" s="17" t="s">
        <v>304</v>
      </c>
      <c r="D10" s="16" t="s">
        <v>6</v>
      </c>
      <c r="E10" s="17" t="s">
        <v>304</v>
      </c>
      <c r="G10" s="16" t="s">
        <v>305</v>
      </c>
      <c r="H10" s="17" t="s">
        <v>304</v>
      </c>
    </row>
    <row r="11" customFormat="false" ht="15" hidden="false" customHeight="false" outlineLevel="0" collapsed="false">
      <c r="A11" s="18" t="s">
        <v>25</v>
      </c>
      <c r="B11" s="19" t="n">
        <f aca="false">COUNTIF('Fuse Database'!B5:B119,A11)</f>
        <v>30</v>
      </c>
      <c r="D11" s="18" t="s">
        <v>49</v>
      </c>
      <c r="E11" s="19" t="n">
        <f aca="false">COUNTIF('Fuse Database'!E5:E119,D11)</f>
        <v>106</v>
      </c>
      <c r="G11" s="20" t="n">
        <v>5</v>
      </c>
      <c r="H11" s="19" t="n">
        <f aca="false">COUNTIF('Fuse Database'!H5:H119,G11)</f>
        <v>10</v>
      </c>
    </row>
    <row r="12" customFormat="false" ht="15" hidden="false" customHeight="false" outlineLevel="0" collapsed="false">
      <c r="A12" s="18" t="s">
        <v>74</v>
      </c>
      <c r="B12" s="19" t="n">
        <f aca="false">COUNTIF('Fuse Database'!B5:B119,A12)</f>
        <v>55</v>
      </c>
      <c r="D12" s="18" t="s">
        <v>28</v>
      </c>
      <c r="E12" s="19" t="n">
        <f aca="false">COUNTIF('Fuse Database'!E5:E119,D12)</f>
        <v>9</v>
      </c>
      <c r="G12" s="20" t="n">
        <v>6</v>
      </c>
      <c r="H12" s="19" t="n">
        <f aca="false">COUNTIF('Fuse Database'!H5:H119,G12)</f>
        <v>7</v>
      </c>
    </row>
    <row r="13" customFormat="false" ht="15" hidden="false" customHeight="false" outlineLevel="0" collapsed="false">
      <c r="A13" s="18" t="s">
        <v>68</v>
      </c>
      <c r="B13" s="19" t="n">
        <f aca="false">COUNTIF('Fuse Database'!B5:B119,A13)</f>
        <v>12</v>
      </c>
      <c r="G13" s="20" t="n">
        <v>6.3</v>
      </c>
      <c r="H13" s="19" t="n">
        <f aca="false">COUNTIF('Fuse Database'!H5:H119,G13)</f>
        <v>2</v>
      </c>
    </row>
    <row r="14" customFormat="false" ht="15" hidden="false" customHeight="false" outlineLevel="0" collapsed="false">
      <c r="A14" s="18" t="s">
        <v>161</v>
      </c>
      <c r="B14" s="19" t="n">
        <f aca="false">COUNTIF('Fuse Database'!B5:B119,A14)</f>
        <v>9</v>
      </c>
      <c r="G14" s="20" t="n">
        <v>7</v>
      </c>
      <c r="H14" s="19" t="n">
        <f aca="false">COUNTIF('Fuse Database'!H5:H119,G14)</f>
        <v>2</v>
      </c>
    </row>
    <row r="15" customFormat="false" ht="15" hidden="false" customHeight="false" outlineLevel="0" collapsed="false">
      <c r="A15" s="18" t="s">
        <v>41</v>
      </c>
      <c r="B15" s="19" t="n">
        <f aca="false">COUNTIF('Fuse Database'!B5:B119,A15)</f>
        <v>3</v>
      </c>
      <c r="G15" s="20" t="n">
        <v>8</v>
      </c>
      <c r="H15" s="19" t="n">
        <f aca="false">COUNTIF('Fuse Database'!H5:H119,G15)</f>
        <v>12</v>
      </c>
    </row>
    <row r="16" customFormat="false" ht="15" hidden="false" customHeight="false" outlineLevel="0" collapsed="false">
      <c r="A16" s="18" t="s">
        <v>55</v>
      </c>
      <c r="B16" s="19" t="n">
        <f aca="false">COUNTIF('Fuse Database'!B5:B119,A16)</f>
        <v>3</v>
      </c>
      <c r="G16" s="20" t="n">
        <v>10</v>
      </c>
      <c r="H16" s="19" t="n">
        <f aca="false">COUNTIF('Fuse Database'!H5:H119,G16)</f>
        <v>14</v>
      </c>
    </row>
    <row r="17" customFormat="false" ht="15" hidden="false" customHeight="false" outlineLevel="0" collapsed="false">
      <c r="A17" s="18" t="s">
        <v>155</v>
      </c>
      <c r="B17" s="19" t="n">
        <f aca="false">COUNTIF('Fuse Database'!B5:B119,A17)</f>
        <v>2</v>
      </c>
      <c r="G17" s="20" t="n">
        <v>12</v>
      </c>
      <c r="H17" s="19" t="n">
        <f aca="false">COUNTIF('Fuse Database'!H5:H119,G17)</f>
        <v>5</v>
      </c>
    </row>
    <row r="18" customFormat="false" ht="15" hidden="false" customHeight="false" outlineLevel="0" collapsed="false">
      <c r="A18" s="18" t="s">
        <v>126</v>
      </c>
      <c r="B18" s="19" t="n">
        <f aca="false">COUNTIF('Fuse Database'!B5:B119,A18)</f>
        <v>1</v>
      </c>
      <c r="G18" s="20" t="n">
        <v>12.5</v>
      </c>
      <c r="H18" s="19" t="n">
        <f aca="false">COUNTIF('Fuse Database'!H5:H119,G18)</f>
        <v>5</v>
      </c>
    </row>
    <row r="19" customFormat="false" ht="15" hidden="false" customHeight="false" outlineLevel="0" collapsed="false">
      <c r="A19" s="14" t="s">
        <v>306</v>
      </c>
      <c r="B19" s="21" t="n">
        <f aca="false">SUM(B11:B18)</f>
        <v>115</v>
      </c>
      <c r="G19" s="20" t="n">
        <v>15</v>
      </c>
      <c r="H19" s="19" t="n">
        <f aca="false">COUNTIF('Fuse Database'!H5:H119,G19)</f>
        <v>10</v>
      </c>
    </row>
    <row r="20" customFormat="false" ht="15" hidden="false" customHeight="false" outlineLevel="0" collapsed="false">
      <c r="G20" s="20" t="n">
        <v>16</v>
      </c>
      <c r="H20" s="19" t="n">
        <f aca="false">COUNTIF('Fuse Database'!H5:H119,G20)</f>
        <v>6</v>
      </c>
    </row>
    <row r="21" customFormat="false" ht="15" hidden="false" customHeight="false" outlineLevel="0" collapsed="false">
      <c r="G21" s="20" t="n">
        <v>18</v>
      </c>
      <c r="H21" s="19" t="n">
        <f aca="false">COUNTIF('Fuse Database'!H5:H119,G21)</f>
        <v>4</v>
      </c>
    </row>
    <row r="22" customFormat="false" ht="15" hidden="false" customHeight="false" outlineLevel="0" collapsed="false">
      <c r="G22" s="20" t="n">
        <v>20</v>
      </c>
      <c r="H22" s="19" t="n">
        <f aca="false">COUNTIF('Fuse Database'!H5:H119,G22)</f>
        <v>13</v>
      </c>
    </row>
    <row r="23" customFormat="false" ht="15" hidden="false" customHeight="false" outlineLevel="0" collapsed="false">
      <c r="G23" s="20" t="n">
        <v>25</v>
      </c>
      <c r="H23" s="19" t="n">
        <f aca="false">COUNTIF('Fuse Database'!H5:H119,G23)</f>
        <v>7</v>
      </c>
    </row>
    <row r="24" customFormat="false" ht="15" hidden="false" customHeight="false" outlineLevel="0" collapsed="false">
      <c r="G24" s="20" t="n">
        <v>30</v>
      </c>
      <c r="H24" s="19" t="n">
        <f aca="false">COUNTIF('Fuse Database'!H5:H119,G24)</f>
        <v>13</v>
      </c>
    </row>
    <row r="25" customFormat="false" ht="15" hidden="false" customHeight="false" outlineLevel="0" collapsed="false">
      <c r="G25" s="20" t="n">
        <v>35</v>
      </c>
      <c r="H25" s="19" t="n">
        <f aca="false">COUNTIF('Fuse Database'!H5:H119,G25)</f>
        <v>1</v>
      </c>
    </row>
    <row r="26" customFormat="false" ht="15" hidden="false" customHeight="false" outlineLevel="0" collapsed="false">
      <c r="G26" s="20" t="n">
        <v>40</v>
      </c>
      <c r="H26" s="19" t="n">
        <f aca="false">COUNTIF('Fuse Database'!H5:H119,G26)</f>
        <v>3</v>
      </c>
    </row>
    <row r="27" customFormat="false" ht="15" hidden="false" customHeight="false" outlineLevel="0" collapsed="false">
      <c r="G27" s="20" t="n">
        <v>50</v>
      </c>
      <c r="H27" s="19" t="n">
        <f aca="false">COUNTIF('Fuse Database'!H5:H119,G27)</f>
        <v>1</v>
      </c>
    </row>
    <row r="28" customFormat="false" ht="15" hidden="false" customHeight="false" outlineLevel="0" collapsed="false">
      <c r="G28" s="14" t="s">
        <v>306</v>
      </c>
      <c r="H28" s="21" t="n">
        <f aca="false">SUM(H11:H27)</f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1" t="s">
        <v>307</v>
      </c>
    </row>
    <row r="3" customFormat="false" ht="15.75" hidden="false" customHeight="true" outlineLevel="0" collapsed="false">
      <c r="A3" s="22" t="s">
        <v>308</v>
      </c>
      <c r="B3" s="22"/>
      <c r="C3" s="22"/>
      <c r="D3" s="22"/>
      <c r="E3" s="22"/>
      <c r="F3" s="22"/>
    </row>
    <row r="4" customFormat="false" ht="30" hidden="false" customHeight="true" outlineLevel="0" collapsed="false">
      <c r="A4" s="23" t="s">
        <v>309</v>
      </c>
      <c r="B4" s="23"/>
      <c r="C4" s="23"/>
      <c r="D4" s="23"/>
      <c r="E4" s="23"/>
      <c r="F4" s="23"/>
    </row>
    <row r="5" customFormat="false" ht="30" hidden="false" customHeight="true" outlineLevel="0" collapsed="false">
      <c r="A5" s="23" t="s">
        <v>310</v>
      </c>
      <c r="B5" s="23"/>
      <c r="C5" s="23"/>
      <c r="D5" s="23"/>
      <c r="E5" s="23"/>
      <c r="F5" s="23"/>
    </row>
    <row r="6" customFormat="false" ht="30" hidden="false" customHeight="true" outlineLevel="0" collapsed="false">
      <c r="A6" s="23" t="s">
        <v>311</v>
      </c>
      <c r="B6" s="23"/>
      <c r="C6" s="23"/>
      <c r="D6" s="23"/>
      <c r="E6" s="23"/>
      <c r="F6" s="23"/>
    </row>
    <row r="7" customFormat="false" ht="30" hidden="false" customHeight="true" outlineLevel="0" collapsed="false">
      <c r="A7" s="23" t="s">
        <v>312</v>
      </c>
      <c r="B7" s="23"/>
      <c r="C7" s="23"/>
      <c r="D7" s="23"/>
      <c r="E7" s="23"/>
      <c r="F7" s="23"/>
    </row>
    <row r="9" customFormat="false" ht="15" hidden="false" customHeight="false" outlineLevel="0" collapsed="false">
      <c r="A9" s="24" t="s">
        <v>313</v>
      </c>
    </row>
    <row r="10" customFormat="false" ht="15" hidden="false" customHeight="false" outlineLevel="0" collapsed="false">
      <c r="A10" s="3" t="s">
        <v>2</v>
      </c>
      <c r="B10" s="3" t="s">
        <v>314</v>
      </c>
      <c r="C10" s="3" t="s">
        <v>315</v>
      </c>
      <c r="D10" s="3" t="s">
        <v>316</v>
      </c>
      <c r="E10" s="3" t="s">
        <v>317</v>
      </c>
    </row>
    <row r="11" customFormat="false" ht="15" hidden="false" customHeight="false" outlineLevel="0" collapsed="false">
      <c r="A11" s="25" t="s">
        <v>90</v>
      </c>
      <c r="B11" s="26" t="n">
        <v>6</v>
      </c>
      <c r="C11" s="26" t="n">
        <v>2.6</v>
      </c>
      <c r="D11" s="26" t="s">
        <v>318</v>
      </c>
      <c r="E11" s="25" t="s">
        <v>91</v>
      </c>
    </row>
    <row r="12" customFormat="false" ht="15" hidden="false" customHeight="false" outlineLevel="0" collapsed="false">
      <c r="A12" s="25" t="s">
        <v>203</v>
      </c>
      <c r="B12" s="26" t="n">
        <v>15</v>
      </c>
      <c r="C12" s="26" t="n">
        <v>1.5</v>
      </c>
      <c r="D12" s="26" t="s">
        <v>318</v>
      </c>
      <c r="E12" s="25" t="s">
        <v>205</v>
      </c>
    </row>
    <row r="13" customFormat="false" ht="15" hidden="false" customHeight="false" outlineLevel="0" collapsed="false">
      <c r="A13" s="25" t="s">
        <v>256</v>
      </c>
      <c r="B13" s="26" t="n">
        <v>25</v>
      </c>
      <c r="C13" s="26" t="n">
        <v>2.5</v>
      </c>
      <c r="D13" s="26" t="s">
        <v>318</v>
      </c>
      <c r="E13" s="25" t="s">
        <v>257</v>
      </c>
    </row>
    <row r="15" customFormat="false" ht="15" hidden="false" customHeight="false" outlineLevel="0" collapsed="false">
      <c r="A15" s="2" t="s">
        <v>319</v>
      </c>
      <c r="B15" s="2"/>
      <c r="C15" s="2"/>
      <c r="D15" s="2"/>
      <c r="E15" s="2"/>
      <c r="F15" s="2"/>
    </row>
  </sheetData>
  <mergeCells count="6">
    <mergeCell ref="A3:F3"/>
    <mergeCell ref="A4:F4"/>
    <mergeCell ref="A5:F5"/>
    <mergeCell ref="A6:F6"/>
    <mergeCell ref="A7:F7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2026-07-27T23:40:02Z</dcterms:created>
  <dc:creator>openpyxl</dc:creator>
  <dc:description/>
  <dc:language>en-US</dc:language>
  <cp:lastModifiedBy/>
  <dcterms:modified xsi:type="dcterms:W3CDTF">2026-07-27T23:40:02Z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